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leta" sheetId="1" state="visible" r:id="rId3"/>
    <sheet name="Contraste" sheetId="2" state="visible" r:id="rId4"/>
    <sheet name="Componentes" sheetId="3" state="visible" r:id="rId5"/>
    <sheet name="Fuen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<sst xmlns="http://schemas.openxmlformats.org/spreadsheetml/2006/main" count="350" uniqueCount="259">
  <si>
    <t xml:space="preserve">Juntos Renacemos · Paleta de colores</t>
  </si>
  <si>
    <t xml:space="preserve">Edita el HEX (columna C) y se recalculan RGB, luminancia y la hoja Contraste. La muestra (columna B) se colorea a mano.</t>
  </si>
  <si>
    <t xml:space="preserve">Nombre</t>
  </si>
  <si>
    <t xml:space="preserve">Muestra</t>
  </si>
  <si>
    <t xml:space="preserve">HEX</t>
  </si>
  <si>
    <t xml:space="preserve">Variable CSS</t>
  </si>
  <si>
    <t xml:space="preserve">R</t>
  </si>
  <si>
    <t xml:space="preserve">G</t>
  </si>
  <si>
    <t xml:space="preserve">B</t>
  </si>
  <si>
    <t xml:space="preserve">Luminancia</t>
  </si>
  <si>
    <t xml:space="preserve">Grupo</t>
  </si>
  <si>
    <t xml:space="preserve">Uso principal</t>
  </si>
  <si>
    <t xml:space="preserve">Principal (teal)</t>
  </si>
  <si>
    <t xml:space="preserve">#479ea9</t>
  </si>
  <si>
    <t xml:space="preserve">--color-primary</t>
  </si>
  <si>
    <t xml:space="preserve">Principal</t>
  </si>
  <si>
    <t xml:space="preserve">Botón por defecto, .hl, foco de inputs, checks, bordes de acento, estadísticas</t>
  </si>
  <si>
    <t xml:space="preserve">Principal claro</t>
  </si>
  <si>
    <t xml:space="preserve">#7bbcc5</t>
  </si>
  <si>
    <t xml:space="preserve">--color-primary-light</t>
  </si>
  <si>
    <t xml:space="preserve">Variante clara para hovers y detalles</t>
  </si>
  <si>
    <t xml:space="preserve">Principal oscuro</t>
  </si>
  <si>
    <t xml:space="preserve">#2a7580</t>
  </si>
  <si>
    <t xml:space="preserve">--color-primary-dark</t>
  </si>
  <si>
    <t xml:space="preserve">Eslóganes, .eyebrow, hover de botón, hover de enlaces</t>
  </si>
  <si>
    <t xml:space="preserve">Principal suave</t>
  </si>
  <si>
    <t xml:space="preserve">#e6f3f5</t>
  </si>
  <si>
    <t xml:space="preserve">--color-primary-soft</t>
  </si>
  <si>
    <t xml:space="preserve">Fondos suaves de secciones</t>
  </si>
  <si>
    <t xml:space="preserve">Secundario (azul)</t>
  </si>
  <si>
    <t xml:space="preserve">#215196</t>
  </si>
  <si>
    <t xml:space="preserve">--color-secondary</t>
  </si>
  <si>
    <t xml:space="preserve">Secundario</t>
  </si>
  <si>
    <t xml:space="preserve">Títulos h1–h6, enlaces, marca del navbar, labels, th de tabla, .btn--outline</t>
  </si>
  <si>
    <t xml:space="preserve">Secundario claro</t>
  </si>
  <si>
    <t xml:space="preserve">#3a6fb8</t>
  </si>
  <si>
    <t xml:space="preserve">--color-secondary-light</t>
  </si>
  <si>
    <t xml:space="preserve">Variante clara del azul</t>
  </si>
  <si>
    <t xml:space="preserve">Secundario oscuro</t>
  </si>
  <si>
    <t xml:space="preserve">#163768</t>
  </si>
  <si>
    <t xml:space="preserve">--color-secondary-dark</t>
  </si>
  <si>
    <t xml:space="preserve">Inicio del gradiente principal, hover de .btn--secondary</t>
  </si>
  <si>
    <t xml:space="preserve">Marino</t>
  </si>
  <si>
    <t xml:space="preserve">#0e2447</t>
  </si>
  <si>
    <t xml:space="preserve">--color-navy</t>
  </si>
  <si>
    <t xml:space="preserve">Franja de pilares, texto sobre acento, inicio del gradiente del hero</t>
  </si>
  <si>
    <t xml:space="preserve">Acento (aqua)</t>
  </si>
  <si>
    <t xml:space="preserve">#9ad6de</t>
  </si>
  <si>
    <t xml:space="preserve">--color-accent</t>
  </si>
  <si>
    <t xml:space="preserve">Acento</t>
  </si>
  <si>
    <t xml:space="preserve">Texto destacado sobre fondos oscuros, .btn--accent, selección de texto</t>
  </si>
  <si>
    <t xml:space="preserve">Acento oscuro</t>
  </si>
  <si>
    <t xml:space="preserve">#6bbcc7</t>
  </si>
  <si>
    <t xml:space="preserve">--color-accent-dark</t>
  </si>
  <si>
    <t xml:space="preserve">Hover de .btn--accent</t>
  </si>
  <si>
    <t xml:space="preserve">Blanco</t>
  </si>
  <si>
    <t xml:space="preserve">#ffffff</t>
  </si>
  <si>
    <t xml:space="preserve">--color-white</t>
  </si>
  <si>
    <t xml:space="preserve">Neutro</t>
  </si>
  <si>
    <t xml:space="preserve">Superficies, tarjetas, texto sobre fondos oscuros</t>
  </si>
  <si>
    <t xml:space="preserve">Fondo</t>
  </si>
  <si>
    <t xml:space="preserve">#f4f9fa</t>
  </si>
  <si>
    <t xml:space="preserve">--color-bg</t>
  </si>
  <si>
    <t xml:space="preserve">Fondo general de la página (tinte del teal)</t>
  </si>
  <si>
    <t xml:space="preserve">Borde</t>
  </si>
  <si>
    <t xml:space="preserve">#dce7ea</t>
  </si>
  <si>
    <t xml:space="preserve">--color-border</t>
  </si>
  <si>
    <t xml:space="preserve">Bordes de tarjetas, inputs y tablas</t>
  </si>
  <si>
    <t xml:space="preserve">Texto</t>
  </si>
  <si>
    <t xml:space="preserve">#16233a</t>
  </si>
  <si>
    <t xml:space="preserve">--color-text</t>
  </si>
  <si>
    <t xml:space="preserve">Texto corrido</t>
  </si>
  <si>
    <t xml:space="preserve">Texto atenuado</t>
  </si>
  <si>
    <t xml:space="preserve">#56657a</t>
  </si>
  <si>
    <t xml:space="preserve">--color-muted</t>
  </si>
  <si>
    <t xml:space="preserve">Texto secundario, pistas, leads</t>
  </si>
  <si>
    <t xml:space="preserve">Oscuro (footer)</t>
  </si>
  <si>
    <t xml:space="preserve">#0c1c38</t>
  </si>
  <si>
    <t xml:space="preserve">--color-dark</t>
  </si>
  <si>
    <t xml:space="preserve">Fondo del footer</t>
  </si>
  <si>
    <t xml:space="preserve">Éxito</t>
  </si>
  <si>
    <t xml:space="preserve">#1f9d55</t>
  </si>
  <si>
    <t xml:space="preserve">--color-success</t>
  </si>
  <si>
    <t xml:space="preserve">Estado</t>
  </si>
  <si>
    <t xml:space="preserve">Alertas y validaciones correctas (funcional, no de marca)</t>
  </si>
  <si>
    <t xml:space="preserve">Advertencia</t>
  </si>
  <si>
    <t xml:space="preserve">#f59e0b</t>
  </si>
  <si>
    <t xml:space="preserve">--color-warning</t>
  </si>
  <si>
    <t xml:space="preserve">Alertas de advertencia (funcional)</t>
  </si>
  <si>
    <t xml:space="preserve">Error</t>
  </si>
  <si>
    <t xml:space="preserve">#d64545</t>
  </si>
  <si>
    <t xml:space="preserve">--color-danger</t>
  </si>
  <si>
    <t xml:space="preserve">Errores de formulario y alertas (funcional)</t>
  </si>
  <si>
    <t xml:space="preserve">Nota: la luminancia relativa sigue la fórmula WCAG 2.x (sRGB). Los colores de estado son funcionales y no forman parte de la identidad de marca.</t>
  </si>
  <si>
    <t xml:space="preserve">Contraste WCAG entre pares de colores</t>
  </si>
  <si>
    <t xml:space="preserve">Los colores se eligen por nombre (deben existir en la hoja Paleta). Mínimos: 4.5:1 texto normal · 3:1 texto grande/negrita grande.</t>
  </si>
  <si>
    <t xml:space="preserve">Color de texto</t>
  </si>
  <si>
    <t xml:space="preserve">Color de fondo</t>
  </si>
  <si>
    <t xml:space="preserve">Uso</t>
  </si>
  <si>
    <t xml:space="preserve">Ratio</t>
  </si>
  <si>
    <t xml:space="preserve">AA texto normal (≥ 4.5)</t>
  </si>
  <si>
    <t xml:space="preserve">AA texto grande (≥ 3)</t>
  </si>
  <si>
    <t xml:space="preserve">Lectura</t>
  </si>
  <si>
    <t xml:space="preserve">Botón por defecto (.btn)</t>
  </si>
  <si>
    <t xml:space="preserve">Hover del botón por defecto</t>
  </si>
  <si>
    <t xml:space="preserve">.btn--secondary, encabezados de tabla</t>
  </si>
  <si>
    <t xml:space="preserve">Hover de .btn--secondary</t>
  </si>
  <si>
    <t xml:space="preserve">Títulos h1–h6, enlaces, labels</t>
  </si>
  <si>
    <t xml:space="preserve">Eslóganes y .eyebrow sobre fondo blanco</t>
  </si>
  <si>
    <t xml:space="preserve">Palabra resaltada (.hl) en títulos grandes</t>
  </si>
  <si>
    <t xml:space="preserve">Texto sobre .btn--accent y .badge--accent</t>
  </si>
  <si>
    <t xml:space="preserve">Texto corrido sobre fondo de página</t>
  </si>
  <si>
    <t xml:space="preserve">Texto secundario en tarjetas</t>
  </si>
  <si>
    <t xml:space="preserve">Acentos sobre franja de pilares oscura</t>
  </si>
  <si>
    <t xml:space="preserve">Texto sobre franja de pilares y hero</t>
  </si>
  <si>
    <t xml:space="preserve">Texto del footer</t>
  </si>
  <si>
    <t xml:space="preserve">Eslóganes sobre el fondo general</t>
  </si>
  <si>
    <t xml:space="preserve">Resumen</t>
  </si>
  <si>
    <t xml:space="preserve">Pares evaluados</t>
  </si>
  <si>
    <t xml:space="preserve">Cumplen AA texto normal</t>
  </si>
  <si>
    <t xml:space="preserve">Solo texto grande</t>
  </si>
  <si>
    <t xml:space="preserve">Peor ratio</t>
  </si>
  <si>
    <t xml:space="preserve">Mejor ratio</t>
  </si>
  <si>
    <t xml:space="preserve">Asignación de color por componente</t>
  </si>
  <si>
    <t xml:space="preserve">Qué color de la paleta usa cada elemento de la librería CSS.</t>
  </si>
  <si>
    <t xml:space="preserve">Componente</t>
  </si>
  <si>
    <t xml:space="preserve">Clase / selector</t>
  </si>
  <si>
    <t xml:space="preserve">Texto / borde</t>
  </si>
  <si>
    <t xml:space="preserve">Observaciones</t>
  </si>
  <si>
    <t xml:space="preserve">Títulos</t>
  </si>
  <si>
    <t xml:space="preserve">h1–h6, .h1–.h6</t>
  </si>
  <si>
    <t xml:space="preserve">—</t>
  </si>
  <si>
    <t xml:space="preserve">Aceh Black en mayúsculas</t>
  </si>
  <si>
    <t xml:space="preserve">Palabra resaltada</t>
  </si>
  <si>
    <t xml:space="preserve">.hl, .highlight</t>
  </si>
  <si>
    <t xml:space="preserve">Dentro de un título; .hl-accent usa el aqua sobre fondo oscuro</t>
  </si>
  <si>
    <t xml:space="preserve">Eslóganes</t>
  </si>
  <si>
    <t xml:space="preserve">.slogan, .tagline</t>
  </si>
  <si>
    <t xml:space="preserve">Futuristic Stylish</t>
  </si>
  <si>
    <t xml:space="preserve">Eyebrow</t>
  </si>
  <si>
    <t xml:space="preserve">.eyebrow</t>
  </si>
  <si>
    <t xml:space="preserve">Texto superior de sección en mayúsculas</t>
  </si>
  <si>
    <t xml:space="preserve">Enlaces</t>
  </si>
  <si>
    <t xml:space="preserve">a</t>
  </si>
  <si>
    <t xml:space="preserve">Hover: Principal oscuro</t>
  </si>
  <si>
    <t xml:space="preserve">Botón por defecto</t>
  </si>
  <si>
    <t xml:space="preserve">.btn, .btn--primary</t>
  </si>
  <si>
    <t xml:space="preserve">Botón secundario</t>
  </si>
  <si>
    <t xml:space="preserve">.btn--secondary</t>
  </si>
  <si>
    <t xml:space="preserve">Hover: Secundario oscuro</t>
  </si>
  <si>
    <t xml:space="preserve">Botón de acento</t>
  </si>
  <si>
    <t xml:space="preserve">.btn--accent</t>
  </si>
  <si>
    <t xml:space="preserve">Hover: Acento oscuro</t>
  </si>
  <si>
    <t xml:space="preserve">Botón contorno</t>
  </si>
  <si>
    <t xml:space="preserve">.btn--outline</t>
  </si>
  <si>
    <t xml:space="preserve">Transparente</t>
  </si>
  <si>
    <t xml:space="preserve">Hover: relleno azul con texto blanco</t>
  </si>
  <si>
    <t xml:space="preserve">Botón contorno claro</t>
  </si>
  <si>
    <t xml:space="preserve">.btn--outline-light</t>
  </si>
  <si>
    <t xml:space="preserve">Para hero y fondos oscuros</t>
  </si>
  <si>
    <t xml:space="preserve">Navbar</t>
  </si>
  <si>
    <t xml:space="preserve">.navbar</t>
  </si>
  <si>
    <t xml:space="preserve">Blanco (92%)</t>
  </si>
  <si>
    <t xml:space="preserve">Línea activa: Acento</t>
  </si>
  <si>
    <t xml:space="preserve">Hero</t>
  </si>
  <si>
    <t xml:space="preserve">.hero</t>
  </si>
  <si>
    <t xml:space="preserve">Gradiente marino → azul → teal</t>
  </si>
  <si>
    <t xml:space="preserve">Alianza en Acento; brillos decorativos en aqua y teal</t>
  </si>
  <si>
    <t xml:space="preserve">Franja de pilares</t>
  </si>
  <si>
    <t xml:space="preserve">.pillars-strip, .pillar</t>
  </si>
  <si>
    <t xml:space="preserve">Números con contorno en Acento</t>
  </si>
  <si>
    <t xml:space="preserve">Tarjeta</t>
  </si>
  <si>
    <t xml:space="preserve">.card</t>
  </si>
  <si>
    <t xml:space="preserve">Borde superior opcional: Principal (.card--accent-top)</t>
  </si>
  <si>
    <t xml:space="preserve">Tarjeta destacada</t>
  </si>
  <si>
    <t xml:space="preserve">.card--primary</t>
  </si>
  <si>
    <t xml:space="preserve">Gradiente principal</t>
  </si>
  <si>
    <t xml:space="preserve">Checklist</t>
  </si>
  <si>
    <t xml:space="preserve">.checklist__item</t>
  </si>
  <si>
    <t xml:space="preserve">Borde izquierdo y círculo del check en teal</t>
  </si>
  <si>
    <t xml:space="preserve">Inputs</t>
  </si>
  <si>
    <t xml:space="preserve">.form-control</t>
  </si>
  <si>
    <t xml:space="preserve">Foco: borde Principal + halo teal</t>
  </si>
  <si>
    <t xml:space="preserve">Etiquetas de formulario</t>
  </si>
  <si>
    <t xml:space="preserve">.form-label</t>
  </si>
  <si>
    <t xml:space="preserve">El asterisco .req usa Error</t>
  </si>
  <si>
    <t xml:space="preserve">Encabezado de tabla</t>
  </si>
  <si>
    <t xml:space="preserve">.table th</t>
  </si>
  <si>
    <t xml:space="preserve">Estadísticas</t>
  </si>
  <si>
    <t xml:space="preserve">.stat__value</t>
  </si>
  <si>
    <t xml:space="preserve">CTA</t>
  </si>
  <si>
    <t xml:space="preserve">.cta</t>
  </si>
  <si>
    <t xml:space="preserve">Footer</t>
  </si>
  <si>
    <t xml:space="preserve">.footer</t>
  </si>
  <si>
    <t xml:space="preserve">Blanco (75%)</t>
  </si>
  <si>
    <t xml:space="preserve">Eslogan del footer en Acento</t>
  </si>
  <si>
    <t xml:space="preserve">Alertas</t>
  </si>
  <si>
    <t xml:space="preserve">.alert--success / warning / danger / info</t>
  </si>
  <si>
    <t xml:space="preserve">Tinte 10 % del color</t>
  </si>
  <si>
    <t xml:space="preserve">Colores funcionales; info usa el azul secundario</t>
  </si>
  <si>
    <t xml:space="preserve">Sistema tipográfico</t>
  </si>
  <si>
    <t xml:space="preserve">Aceh Black y Futuristic Stylish no están en Google Fonts: los archivos deben alojarse en assets/fonts/.</t>
  </si>
  <si>
    <t xml:space="preserve">Rol</t>
  </si>
  <si>
    <t xml:space="preserve">Fuente</t>
  </si>
  <si>
    <t xml:space="preserve">Se usa en</t>
  </si>
  <si>
    <t xml:space="preserve">Origen</t>
  </si>
  <si>
    <t xml:space="preserve">Respaldo</t>
  </si>
  <si>
    <t xml:space="preserve">Títulos y MAYÚSCULAS</t>
  </si>
  <si>
    <t xml:space="preserve">Aceh Black</t>
  </si>
  <si>
    <t xml:space="preserve">--font-display</t>
  </si>
  <si>
    <t xml:space="preserve">h1–h6, números de pilares, nombre de marca, footer__title</t>
  </si>
  <si>
    <t xml:space="preserve">Local: assets/fonts/AcehBlack.woff2 (.woff, .ttf)</t>
  </si>
  <si>
    <t xml:space="preserve">Oswald, Impact, Arial Black</t>
  </si>
  <si>
    <t xml:space="preserve">Eslóganes y frases</t>
  </si>
  <si>
    <t xml:space="preserve">--font-slogan</t>
  </si>
  <si>
    <t xml:space="preserve">.slogan, .tagline, .quote-phrase, .eyebrow, .hero__slogan</t>
  </si>
  <si>
    <t xml:space="preserve">Local: assets/fonts/FuturisticStylish.woff2 (.woff, .ttf)</t>
  </si>
  <si>
    <t xml:space="preserve">Montserrat, Trebuchet MS</t>
  </si>
  <si>
    <t xml:space="preserve">Subtítulos, botones, menú</t>
  </si>
  <si>
    <t xml:space="preserve">Montserrat</t>
  </si>
  <si>
    <t xml:space="preserve">--font-heading</t>
  </si>
  <si>
    <t xml:space="preserve">.btn, .navbar__link, .form-label, .badge, .table th</t>
  </si>
  <si>
    <t xml:space="preserve">Google Fonts</t>
  </si>
  <si>
    <t xml:space="preserve">Poppins, Segoe UI</t>
  </si>
  <si>
    <t xml:space="preserve">Poppins</t>
  </si>
  <si>
    <t xml:space="preserve">--font-body</t>
  </si>
  <si>
    <t xml:space="preserve">body, p, inputs</t>
  </si>
  <si>
    <t xml:space="preserve">Segoe UI, system-ui, Roboto</t>
  </si>
  <si>
    <t xml:space="preserve">Respaldo de títulos</t>
  </si>
  <si>
    <t xml:space="preserve">Oswald</t>
  </si>
  <si>
    <t xml:space="preserve">Sustituye a Aceh Black si no carga</t>
  </si>
  <si>
    <t xml:space="preserve">Código</t>
  </si>
  <si>
    <t xml:space="preserve">Monoespaciada del sistema</t>
  </si>
  <si>
    <t xml:space="preserve">--font-mono</t>
  </si>
  <si>
    <t xml:space="preserve">code, kbd, pre</t>
  </si>
  <si>
    <t xml:space="preserve">Sistema</t>
  </si>
  <si>
    <t xml:space="preserve">Menlo, Consolas</t>
  </si>
  <si>
    <t xml:space="preserve">Escala tipográfica fluida (mín – máx, en rem)</t>
  </si>
  <si>
    <t xml:space="preserve">Token</t>
  </si>
  <si>
    <t xml:space="preserve">Mínimo (rem)</t>
  </si>
  <si>
    <t xml:space="preserve">Máximo (rem)</t>
  </si>
  <si>
    <t xml:space="preserve">Uso típico</t>
  </si>
  <si>
    <t xml:space="preserve">--fs-xs</t>
  </si>
  <si>
    <t xml:space="preserve">Notas, badges</t>
  </si>
  <si>
    <t xml:space="preserve">--fs-sm</t>
  </si>
  <si>
    <t xml:space="preserve">Texto secundario, botones</t>
  </si>
  <si>
    <t xml:space="preserve">--fs-base</t>
  </si>
  <si>
    <t xml:space="preserve">--fs-md</t>
  </si>
  <si>
    <t xml:space="preserve">Lead, subtítulos</t>
  </si>
  <si>
    <t xml:space="preserve">--fs-lg</t>
  </si>
  <si>
    <t xml:space="preserve">h4, eslóganes pequeños</t>
  </si>
  <si>
    <t xml:space="preserve">--fs-xl</t>
  </si>
  <si>
    <t xml:space="preserve">h3, slogan</t>
  </si>
  <si>
    <t xml:space="preserve">--fs-2xl</t>
  </si>
  <si>
    <t xml:space="preserve">slogan--lg</t>
  </si>
  <si>
    <t xml:space="preserve">--fs-3xl</t>
  </si>
  <si>
    <t xml:space="preserve">h2, CTA</t>
  </si>
  <si>
    <t xml:space="preserve">--fs-4xl</t>
  </si>
  <si>
    <t xml:space="preserve">h1, hero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</si>
</sst>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00"/>
    <numFmt numFmtId="167" formatCode="0.00&quot;:1&quot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15196"/>
      <name val="Arial"/>
      <family val="0"/>
      <charset val="1"/>
    </font>
    <font>
      <i val="true"/>
      <sz val="9"/>
      <color rgb="FF56657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Consolas"/>
      <family val="0"/>
      <charset val="1"/>
    </font>
    <font>
      <sz val="9"/>
      <color rgb="FF56657A"/>
      <name val="Consolas"/>
      <family val="0"/>
      <charset val="1"/>
    </font>
    <font>
      <sz val="9"/>
      <name val="Consolas"/>
      <family val="0"/>
      <charset val="1"/>
    </font>
    <font>
      <b val="true"/>
      <sz val="11"/>
      <color rgb="FF215196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215196"/>
        <bgColor rgb="FF163768"/>
      </patternFill>
    </fill>
    <fill>
      <patternFill patternType="solid">
        <fgColor rgb="FF479EA9"/>
        <bgColor rgb="FF6BBCC7"/>
      </patternFill>
    </fill>
    <fill>
      <patternFill patternType="solid">
        <fgColor rgb="FF7BBCC5"/>
        <bgColor rgb="FF6BBCC7"/>
      </patternFill>
    </fill>
    <fill>
      <patternFill patternType="solid">
        <fgColor rgb="FF2A7580"/>
        <bgColor rgb="FF3A6FB8"/>
      </patternFill>
    </fill>
    <fill>
      <patternFill patternType="solid">
        <fgColor rgb="FFE6F3F5"/>
        <bgColor rgb="FFF4F9FA"/>
      </patternFill>
    </fill>
    <fill>
      <patternFill patternType="solid">
        <fgColor rgb="FF3A6FB8"/>
        <bgColor rgb="FF2A7580"/>
      </patternFill>
    </fill>
    <fill>
      <patternFill patternType="solid">
        <fgColor rgb="FF163768"/>
        <bgColor rgb="FF0E2447"/>
      </patternFill>
    </fill>
    <fill>
      <patternFill patternType="solid">
        <fgColor rgb="FF0E2447"/>
        <bgColor rgb="FF16233A"/>
      </patternFill>
    </fill>
    <fill>
      <patternFill patternType="solid">
        <fgColor rgb="FF9AD6DE"/>
        <bgColor rgb="FF7BBCC5"/>
      </patternFill>
    </fill>
    <fill>
      <patternFill patternType="solid">
        <fgColor rgb="FF6BBCC7"/>
        <bgColor rgb="FF7BBCC5"/>
      </patternFill>
    </fill>
    <fill>
      <patternFill patternType="solid">
        <fgColor rgb="FFFFFFFF"/>
        <bgColor rgb="FFF4F9FA"/>
      </patternFill>
    </fill>
    <fill>
      <patternFill patternType="solid">
        <fgColor rgb="FFF4F9FA"/>
        <bgColor rgb="FFFFFFFF"/>
      </patternFill>
    </fill>
    <fill>
      <patternFill patternType="solid">
        <fgColor rgb="FFDCE7EA"/>
        <bgColor rgb="FFD9F2E3"/>
      </patternFill>
    </fill>
    <fill>
      <patternFill patternType="solid">
        <fgColor rgb="FF16233A"/>
        <bgColor rgb="FF0E2447"/>
      </patternFill>
    </fill>
    <fill>
      <patternFill patternType="solid">
        <fgColor rgb="FF56657A"/>
        <bgColor rgb="FF3A6FB8"/>
      </patternFill>
    </fill>
    <fill>
      <patternFill patternType="solid">
        <fgColor rgb="FF0C1C38"/>
        <bgColor rgb="FF16233A"/>
      </patternFill>
    </fill>
    <fill>
      <patternFill patternType="solid">
        <fgColor rgb="FF1F9D55"/>
        <bgColor rgb="FF008080"/>
      </patternFill>
    </fill>
    <fill>
      <patternFill patternType="solid">
        <fgColor rgb="FFF59E0B"/>
        <bgColor rgb="FFFFCC00"/>
      </patternFill>
    </fill>
    <fill>
      <patternFill patternType="solid">
        <fgColor rgb="FFD64545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7EA"/>
      </left>
      <right style="thin">
        <color rgb="FFDCE7EA"/>
      </right>
      <top style="thin">
        <color rgb="FFDCE7EA"/>
      </top>
      <bottom style="thin">
        <color rgb="FFDCE7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9F2E3"/>
        </patternFill>
      </fill>
    </dxf>
    <dxf>
      <fill>
        <patternFill>
          <bgColor rgb="FFFADB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A7580"/>
      <rgbColor rgb="FFC0C0C0"/>
      <rgbColor rgb="FF479EA9"/>
      <rgbColor rgb="FF9999FF"/>
      <rgbColor rgb="FFD64545"/>
      <rgbColor rgb="FFF4F9FA"/>
      <rgbColor rgb="FFE6F3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7EA"/>
      <rgbColor rgb="FFD9F2E3"/>
      <rgbColor rgb="FFFFFF99"/>
      <rgbColor rgb="FF9AD6DE"/>
      <rgbColor rgb="FFFF99CC"/>
      <rgbColor rgb="FFCC99FF"/>
      <rgbColor rgb="FFFADBD8"/>
      <rgbColor rgb="FF3A6FB8"/>
      <rgbColor rgb="FF6BBCC7"/>
      <rgbColor rgb="FF99CC00"/>
      <rgbColor rgb="FFFFCC00"/>
      <rgbColor rgb="FFF59E0B"/>
      <rgbColor rgb="FFFF6600"/>
      <rgbColor rgb="FF56657A"/>
      <rgbColor rgb="FF7BBCC5"/>
      <rgbColor rgb="FF163768"/>
      <rgbColor rgb="FF1F9D55"/>
      <rgbColor rgb="FF0C1C38"/>
      <rgbColor rgb="FF0E2447"/>
      <rgbColor rgb="FF993300"/>
      <rgbColor rgb="FF993366"/>
      <rgbColor rgb="FF215196"/>
      <rgbColor rgb="FF1623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7" min="5" style="0" width="6"/>
    <col collapsed="false" customWidth="true" hidden="false" outlineLevel="0" max="9" min="8" style="0" width="12"/>
    <col collapsed="false" customWidth="true" hidden="false" outlineLevel="0" max="10" min="10" style="0" width="70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5"/>
      <c r="C5" s="6" t="s">
        <v>13</v>
      </c>
      <c r="D5" s="7" t="s">
        <v>14</v>
      </c>
      <c r="E5" s="8" t="n">
        <f aca="false">HEX2DEC(MID(C5,2,2))</f>
        <v>71</v>
      </c>
      <c r="F5" s="8" t="n">
        <f aca="false">HEX2DEC(MID(C5,4,2))</f>
        <v>158</v>
      </c>
      <c r="G5" s="8" t="n">
        <f aca="false">HEX2DEC(MID(C5,6,2))</f>
        <v>169</v>
      </c>
      <c r="H5" s="9" t="n">
        <f aca="false">0.2126*IF(E5/255&lt;=0.03928,E5/255/12.92,((E5/255+0.055)/1.055)^2.4)+0.7152*IF(F5/255&lt;=0.03928,F5/255/12.92,((F5/255+0.055)/1.055)^2.4)+0.0722*IF(G5/255&lt;=0.03928,G5/255/12.92,((G5/255+0.055)/1.055)^2.4)</f>
        <v>0.286578854106128</v>
      </c>
      <c r="I5" s="8" t="s">
        <v>15</v>
      </c>
      <c r="J5" s="10" t="s">
        <v>16</v>
      </c>
    </row>
    <row r="6" customFormat="false" ht="15" hidden="false" customHeight="false" outlineLevel="0" collapsed="false">
      <c r="A6" s="4" t="s">
        <v>17</v>
      </c>
      <c r="B6" s="11"/>
      <c r="C6" s="6" t="s">
        <v>18</v>
      </c>
      <c r="D6" s="7" t="s">
        <v>19</v>
      </c>
      <c r="E6" s="8" t="n">
        <f aca="false">HEX2DEC(MID(C6,2,2))</f>
        <v>123</v>
      </c>
      <c r="F6" s="8" t="n">
        <f aca="false">HEX2DEC(MID(C6,4,2))</f>
        <v>188</v>
      </c>
      <c r="G6" s="8" t="n">
        <f aca="false">HEX2DEC(MID(C6,6,2))</f>
        <v>197</v>
      </c>
      <c r="H6" s="9" t="n">
        <f aca="false">0.2126*IF(E6/255&lt;=0.03928,E6/255/12.92,((E6/255+0.055)/1.055)^2.4)+0.7152*IF(F6/255&lt;=0.03928,F6/255/12.92,((F6/255+0.055)/1.055)^2.4)+0.0722*IF(G6/255&lt;=0.03928,G6/255/12.92,((G6/255+0.055)/1.055)^2.4)</f>
        <v>0.442086108254932</v>
      </c>
      <c r="I6" s="8" t="s">
        <v>15</v>
      </c>
      <c r="J6" s="10" t="s">
        <v>20</v>
      </c>
    </row>
    <row r="7" customFormat="false" ht="15" hidden="false" customHeight="false" outlineLevel="0" collapsed="false">
      <c r="A7" s="4" t="s">
        <v>21</v>
      </c>
      <c r="B7" s="12"/>
      <c r="C7" s="6" t="s">
        <v>22</v>
      </c>
      <c r="D7" s="7" t="s">
        <v>23</v>
      </c>
      <c r="E7" s="8" t="n">
        <f aca="false">HEX2DEC(MID(C7,2,2))</f>
        <v>42</v>
      </c>
      <c r="F7" s="8" t="n">
        <f aca="false">HEX2DEC(MID(C7,4,2))</f>
        <v>117</v>
      </c>
      <c r="G7" s="8" t="n">
        <f aca="false">HEX2DEC(MID(C7,6,2))</f>
        <v>128</v>
      </c>
      <c r="H7" s="9" t="n">
        <f aca="false">0.2126*IF(E7/255&lt;=0.03928,E7/255/12.92,((E7/255+0.055)/1.055)^2.4)+0.7152*IF(F7/255&lt;=0.03928,F7/255/12.92,((F7/255+0.055)/1.055)^2.4)+0.0722*IF(G7/255&lt;=0.03928,G7/255/12.92,((G7/255+0.055)/1.055)^2.4)</f>
        <v>0.147733328869181</v>
      </c>
      <c r="I7" s="8" t="s">
        <v>15</v>
      </c>
      <c r="J7" s="10" t="s">
        <v>24</v>
      </c>
    </row>
    <row r="8" customFormat="false" ht="15" hidden="false" customHeight="false" outlineLevel="0" collapsed="false">
      <c r="A8" s="4" t="s">
        <v>25</v>
      </c>
      <c r="B8" s="13"/>
      <c r="C8" s="6" t="s">
        <v>26</v>
      </c>
      <c r="D8" s="7" t="s">
        <v>27</v>
      </c>
      <c r="E8" s="8" t="n">
        <f aca="false">HEX2DEC(MID(C8,2,2))</f>
        <v>230</v>
      </c>
      <c r="F8" s="8" t="n">
        <f aca="false">HEX2DEC(MID(C8,4,2))</f>
        <v>243</v>
      </c>
      <c r="G8" s="8" t="n">
        <f aca="false">HEX2DEC(MID(C8,6,2))</f>
        <v>245</v>
      </c>
      <c r="H8" s="9" t="n">
        <f aca="false">0.2126*IF(E8/255&lt;=0.03928,E8/255/12.92,((E8/255+0.055)/1.055)^2.4)+0.7152*IF(F8/255&lt;=0.03928,F8/255/12.92,((F8/255+0.055)/1.055)^2.4)+0.0722*IF(G8/255&lt;=0.03928,G8/255/12.92,((G8/255+0.055)/1.055)^2.4)</f>
        <v>0.875167506307477</v>
      </c>
      <c r="I8" s="8" t="s">
        <v>15</v>
      </c>
      <c r="J8" s="10" t="s">
        <v>28</v>
      </c>
    </row>
    <row r="9" customFormat="false" ht="15" hidden="false" customHeight="false" outlineLevel="0" collapsed="false">
      <c r="A9" s="4" t="s">
        <v>29</v>
      </c>
      <c r="B9" s="14"/>
      <c r="C9" s="6" t="s">
        <v>30</v>
      </c>
      <c r="D9" s="7" t="s">
        <v>31</v>
      </c>
      <c r="E9" s="8" t="n">
        <f aca="false">HEX2DEC(MID(C9,2,2))</f>
        <v>33</v>
      </c>
      <c r="F9" s="8" t="n">
        <f aca="false">HEX2DEC(MID(C9,4,2))</f>
        <v>81</v>
      </c>
      <c r="G9" s="8" t="n">
        <f aca="false">HEX2DEC(MID(C9,6,2))</f>
        <v>150</v>
      </c>
      <c r="H9" s="9" t="n">
        <f aca="false">0.2126*IF(E9/255&lt;=0.03928,E9/255/12.92,((E9/255+0.055)/1.055)^2.4)+0.7152*IF(F9/255&lt;=0.03928,F9/255/12.92,((F9/255+0.055)/1.055)^2.4)+0.0722*IF(G9/255&lt;=0.03928,G9/255/12.92,((G9/255+0.055)/1.055)^2.4)</f>
        <v>0.0841020063814006</v>
      </c>
      <c r="I9" s="8" t="s">
        <v>32</v>
      </c>
      <c r="J9" s="10" t="s">
        <v>33</v>
      </c>
    </row>
    <row r="10" customFormat="false" ht="15" hidden="false" customHeight="false" outlineLevel="0" collapsed="false">
      <c r="A10" s="4" t="s">
        <v>34</v>
      </c>
      <c r="B10" s="15"/>
      <c r="C10" s="6" t="s">
        <v>35</v>
      </c>
      <c r="D10" s="7" t="s">
        <v>36</v>
      </c>
      <c r="E10" s="8" t="n">
        <f aca="false">HEX2DEC(MID(C10,2,2))</f>
        <v>58</v>
      </c>
      <c r="F10" s="8" t="n">
        <f aca="false">HEX2DEC(MID(C10,4,2))</f>
        <v>111</v>
      </c>
      <c r="G10" s="8" t="n">
        <f aca="false">HEX2DEC(MID(C10,6,2))</f>
        <v>184</v>
      </c>
      <c r="H10" s="9" t="n">
        <f aca="false">0.2126*IF(E10/255&lt;=0.03928,E10/255/12.92,((E10/255+0.055)/1.055)^2.4)+0.7152*IF(F10/255&lt;=0.03928,F10/255/12.92,((F10/255+0.055)/1.055)^2.4)+0.0722*IF(G10/255&lt;=0.03928,G10/255/12.92,((G10/255+0.055)/1.055)^2.4)</f>
        <v>0.157291112353405</v>
      </c>
      <c r="I10" s="8" t="s">
        <v>32</v>
      </c>
      <c r="J10" s="10" t="s">
        <v>37</v>
      </c>
    </row>
    <row r="11" customFormat="false" ht="15" hidden="false" customHeight="false" outlineLevel="0" collapsed="false">
      <c r="A11" s="4" t="s">
        <v>38</v>
      </c>
      <c r="B11" s="16"/>
      <c r="C11" s="6" t="s">
        <v>39</v>
      </c>
      <c r="D11" s="7" t="s">
        <v>40</v>
      </c>
      <c r="E11" s="8" t="n">
        <f aca="false">HEX2DEC(MID(C11,2,2))</f>
        <v>22</v>
      </c>
      <c r="F11" s="8" t="n">
        <f aca="false">HEX2DEC(MID(C11,4,2))</f>
        <v>55</v>
      </c>
      <c r="G11" s="8" t="n">
        <f aca="false">HEX2DEC(MID(C11,6,2))</f>
        <v>104</v>
      </c>
      <c r="H11" s="9" t="n">
        <f aca="false">0.2126*IF(E11/255&lt;=0.03928,E11/255/12.92,((E11/255+0.055)/1.055)^2.4)+0.7152*IF(F11/255&lt;=0.03928,F11/255/12.92,((F11/255+0.055)/1.055)^2.4)+0.0722*IF(G11/255&lt;=0.03928,G11/255/12.92,((G11/255+0.055)/1.055)^2.4)</f>
        <v>0.0390242599990277</v>
      </c>
      <c r="I11" s="8" t="s">
        <v>32</v>
      </c>
      <c r="J11" s="10" t="s">
        <v>41</v>
      </c>
    </row>
    <row r="12" customFormat="false" ht="15" hidden="false" customHeight="false" outlineLevel="0" collapsed="false">
      <c r="A12" s="4" t="s">
        <v>42</v>
      </c>
      <c r="B12" s="17"/>
      <c r="C12" s="6" t="s">
        <v>43</v>
      </c>
      <c r="D12" s="7" t="s">
        <v>44</v>
      </c>
      <c r="E12" s="8" t="n">
        <f aca="false">HEX2DEC(MID(C12,2,2))</f>
        <v>14</v>
      </c>
      <c r="F12" s="8" t="n">
        <f aca="false">HEX2DEC(MID(C12,4,2))</f>
        <v>36</v>
      </c>
      <c r="G12" s="8" t="n">
        <f aca="false">HEX2DEC(MID(C12,6,2))</f>
        <v>71</v>
      </c>
      <c r="H12" s="9" t="n">
        <f aca="false">0.2126*IF(E12/255&lt;=0.03928,E12/255/12.92,((E12/255+0.055)/1.055)^2.4)+0.7152*IF(F12/255&lt;=0.03928,F12/255/12.92,((F12/255+0.055)/1.055)^2.4)+0.0722*IF(G12/255&lt;=0.03928,G12/255/12.92,((G12/255+0.055)/1.055)^2.4)</f>
        <v>0.0181004697018044</v>
      </c>
      <c r="I12" s="8" t="s">
        <v>32</v>
      </c>
      <c r="J12" s="10" t="s">
        <v>45</v>
      </c>
    </row>
    <row r="13" customFormat="false" ht="15" hidden="false" customHeight="false" outlineLevel="0" collapsed="false">
      <c r="A13" s="4" t="s">
        <v>46</v>
      </c>
      <c r="B13" s="18"/>
      <c r="C13" s="6" t="s">
        <v>47</v>
      </c>
      <c r="D13" s="7" t="s">
        <v>48</v>
      </c>
      <c r="E13" s="8" t="n">
        <f aca="false">HEX2DEC(MID(C13,2,2))</f>
        <v>154</v>
      </c>
      <c r="F13" s="8" t="n">
        <f aca="false">HEX2DEC(MID(C13,4,2))</f>
        <v>214</v>
      </c>
      <c r="G13" s="8" t="n">
        <f aca="false">HEX2DEC(MID(C13,6,2))</f>
        <v>222</v>
      </c>
      <c r="H13" s="9" t="n">
        <f aca="false">0.2126*IF(E13/255&lt;=0.03928,E13/255/12.92,((E13/255+0.055)/1.055)^2.4)+0.7152*IF(F13/255&lt;=0.03928,F13/255/12.92,((F13/255+0.055)/1.055)^2.4)+0.0722*IF(G13/255&lt;=0.03928,G13/255/12.92,((G13/255+0.055)/1.055)^2.4)</f>
        <v>0.602370857548075</v>
      </c>
      <c r="I13" s="8" t="s">
        <v>49</v>
      </c>
      <c r="J13" s="10" t="s">
        <v>50</v>
      </c>
    </row>
    <row r="14" customFormat="false" ht="15" hidden="false" customHeight="false" outlineLevel="0" collapsed="false">
      <c r="A14" s="4" t="s">
        <v>51</v>
      </c>
      <c r="B14" s="19"/>
      <c r="C14" s="6" t="s">
        <v>52</v>
      </c>
      <c r="D14" s="7" t="s">
        <v>53</v>
      </c>
      <c r="E14" s="8" t="n">
        <f aca="false">HEX2DEC(MID(C14,2,2))</f>
        <v>107</v>
      </c>
      <c r="F14" s="8" t="n">
        <f aca="false">HEX2DEC(MID(C14,4,2))</f>
        <v>188</v>
      </c>
      <c r="G14" s="8" t="n">
        <f aca="false">HEX2DEC(MID(C14,6,2))</f>
        <v>199</v>
      </c>
      <c r="H14" s="9" t="n">
        <f aca="false">0.2126*IF(E14/255&lt;=0.03928,E14/255/12.92,((E14/255+0.055)/1.055)^2.4)+0.7152*IF(F14/255&lt;=0.03928,F14/255/12.92,((F14/255+0.055)/1.055)^2.4)+0.0722*IF(G14/255&lt;=0.03928,G14/255/12.92,((G14/255+0.055)/1.055)^2.4)</f>
        <v>0.432157604329646</v>
      </c>
      <c r="I14" s="8" t="s">
        <v>49</v>
      </c>
      <c r="J14" s="10" t="s">
        <v>54</v>
      </c>
    </row>
    <row r="15" customFormat="false" ht="15" hidden="false" customHeight="false" outlineLevel="0" collapsed="false">
      <c r="A15" s="4" t="s">
        <v>55</v>
      </c>
      <c r="B15" s="20"/>
      <c r="C15" s="6" t="s">
        <v>56</v>
      </c>
      <c r="D15" s="7" t="s">
        <v>57</v>
      </c>
      <c r="E15" s="8" t="n">
        <f aca="false">HEX2DEC(MID(C15,2,2))</f>
        <v>255</v>
      </c>
      <c r="F15" s="8" t="n">
        <f aca="false">HEX2DEC(MID(C15,4,2))</f>
        <v>255</v>
      </c>
      <c r="G15" s="8" t="n">
        <f aca="false">HEX2DEC(MID(C15,6,2))</f>
        <v>255</v>
      </c>
      <c r="H15" s="9" t="n">
        <f aca="false">0.2126*IF(E15/255&lt;=0.03928,E15/255/12.92,((E15/255+0.055)/1.055)^2.4)+0.7152*IF(F15/255&lt;=0.03928,F15/255/12.92,((F15/255+0.055)/1.055)^2.4)+0.0722*IF(G15/255&lt;=0.03928,G15/255/12.92,((G15/255+0.055)/1.055)^2.4)</f>
        <v>1</v>
      </c>
      <c r="I15" s="8" t="s">
        <v>58</v>
      </c>
      <c r="J15" s="10" t="s">
        <v>59</v>
      </c>
    </row>
    <row r="16" customFormat="false" ht="15" hidden="false" customHeight="false" outlineLevel="0" collapsed="false">
      <c r="A16" s="4" t="s">
        <v>60</v>
      </c>
      <c r="B16" s="21"/>
      <c r="C16" s="6" t="s">
        <v>61</v>
      </c>
      <c r="D16" s="7" t="s">
        <v>62</v>
      </c>
      <c r="E16" s="8" t="n">
        <f aca="false">HEX2DEC(MID(C16,2,2))</f>
        <v>244</v>
      </c>
      <c r="F16" s="8" t="n">
        <f aca="false">HEX2DEC(MID(C16,4,2))</f>
        <v>249</v>
      </c>
      <c r="G16" s="8" t="n">
        <f aca="false">HEX2DEC(MID(C16,6,2))</f>
        <v>250</v>
      </c>
      <c r="H16" s="9" t="n">
        <f aca="false">0.2126*IF(E16/255&lt;=0.03928,E16/255/12.92,((E16/255+0.055)/1.055)^2.4)+0.7152*IF(F16/255&lt;=0.03928,F16/255/12.92,((F16/255+0.055)/1.055)^2.4)+0.0722*IF(G16/255&lt;=0.03928,G16/255/12.92,((G16/255+0.055)/1.055)^2.4)</f>
        <v>0.938865876851741</v>
      </c>
      <c r="I16" s="8" t="s">
        <v>58</v>
      </c>
      <c r="J16" s="10" t="s">
        <v>63</v>
      </c>
    </row>
    <row r="17" customFormat="false" ht="15" hidden="false" customHeight="false" outlineLevel="0" collapsed="false">
      <c r="A17" s="4" t="s">
        <v>64</v>
      </c>
      <c r="B17" s="22"/>
      <c r="C17" s="6" t="s">
        <v>65</v>
      </c>
      <c r="D17" s="7" t="s">
        <v>66</v>
      </c>
      <c r="E17" s="8" t="n">
        <f aca="false">HEX2DEC(MID(C17,2,2))</f>
        <v>220</v>
      </c>
      <c r="F17" s="8" t="n">
        <f aca="false">HEX2DEC(MID(C17,4,2))</f>
        <v>231</v>
      </c>
      <c r="G17" s="8" t="n">
        <f aca="false">HEX2DEC(MID(C17,6,2))</f>
        <v>234</v>
      </c>
      <c r="H17" s="9" t="n">
        <f aca="false">0.2126*IF(E17/255&lt;=0.03928,E17/255/12.92,((E17/255+0.055)/1.055)^2.4)+0.7152*IF(F17/255&lt;=0.03928,F17/255/12.92,((F17/255+0.055)/1.055)^2.4)+0.0722*IF(G17/255&lt;=0.03928,G17/255/12.92,((G17/255+0.055)/1.055)^2.4)</f>
        <v>0.783079847902995</v>
      </c>
      <c r="I17" s="8" t="s">
        <v>58</v>
      </c>
      <c r="J17" s="10" t="s">
        <v>67</v>
      </c>
    </row>
    <row r="18" customFormat="false" ht="15" hidden="false" customHeight="false" outlineLevel="0" collapsed="false">
      <c r="A18" s="4" t="s">
        <v>68</v>
      </c>
      <c r="B18" s="23"/>
      <c r="C18" s="6" t="s">
        <v>69</v>
      </c>
      <c r="D18" s="7" t="s">
        <v>70</v>
      </c>
      <c r="E18" s="8" t="n">
        <f aca="false">HEX2DEC(MID(C18,2,2))</f>
        <v>22</v>
      </c>
      <c r="F18" s="8" t="n">
        <f aca="false">HEX2DEC(MID(C18,4,2))</f>
        <v>35</v>
      </c>
      <c r="G18" s="8" t="n">
        <f aca="false">HEX2DEC(MID(C18,6,2))</f>
        <v>58</v>
      </c>
      <c r="H18" s="9" t="n">
        <f aca="false">0.2126*IF(E18/255&lt;=0.03928,E18/255/12.92,((E18/255+0.055)/1.055)^2.4)+0.7152*IF(F18/255&lt;=0.03928,F18/255/12.92,((F18/255+0.055)/1.055)^2.4)+0.0722*IF(G18/255&lt;=0.03928,G18/255/12.92,((G18/255+0.055)/1.055)^2.4)</f>
        <v>0.0167812498139804</v>
      </c>
      <c r="I18" s="8" t="s">
        <v>58</v>
      </c>
      <c r="J18" s="10" t="s">
        <v>71</v>
      </c>
    </row>
    <row r="19" customFormat="false" ht="15" hidden="false" customHeight="false" outlineLevel="0" collapsed="false">
      <c r="A19" s="4" t="s">
        <v>72</v>
      </c>
      <c r="B19" s="24"/>
      <c r="C19" s="6" t="s">
        <v>73</v>
      </c>
      <c r="D19" s="7" t="s">
        <v>74</v>
      </c>
      <c r="E19" s="8" t="n">
        <f aca="false">HEX2DEC(MID(C19,2,2))</f>
        <v>86</v>
      </c>
      <c r="F19" s="8" t="n">
        <f aca="false">HEX2DEC(MID(C19,4,2))</f>
        <v>101</v>
      </c>
      <c r="G19" s="8" t="n">
        <f aca="false">HEX2DEC(MID(C19,6,2))</f>
        <v>122</v>
      </c>
      <c r="H19" s="9" t="n">
        <f aca="false">0.2126*IF(E19/255&lt;=0.03928,E19/255/12.92,((E19/255+0.055)/1.055)^2.4)+0.7152*IF(F19/255&lt;=0.03928,F19/255/12.92,((F19/255+0.055)/1.055)^2.4)+0.0722*IF(G19/255&lt;=0.03928,G19/255/12.92,((G19/255+0.055)/1.055)^2.4)</f>
        <v>0.126909350988036</v>
      </c>
      <c r="I19" s="8" t="s">
        <v>58</v>
      </c>
      <c r="J19" s="10" t="s">
        <v>75</v>
      </c>
    </row>
    <row r="20" customFormat="false" ht="15" hidden="false" customHeight="false" outlineLevel="0" collapsed="false">
      <c r="A20" s="4" t="s">
        <v>76</v>
      </c>
      <c r="B20" s="25"/>
      <c r="C20" s="6" t="s">
        <v>77</v>
      </c>
      <c r="D20" s="7" t="s">
        <v>78</v>
      </c>
      <c r="E20" s="8" t="n">
        <f aca="false">HEX2DEC(MID(C20,2,2))</f>
        <v>12</v>
      </c>
      <c r="F20" s="8" t="n">
        <f aca="false">HEX2DEC(MID(C20,4,2))</f>
        <v>28</v>
      </c>
      <c r="G20" s="8" t="n">
        <f aca="false">HEX2DEC(MID(C20,6,2))</f>
        <v>56</v>
      </c>
      <c r="H20" s="9" t="n">
        <f aca="false">0.2126*IF(E20/255&lt;=0.03928,E20/255/12.92,((E20/255+0.055)/1.055)^2.4)+0.7152*IF(F20/255&lt;=0.03928,F20/255/12.92,((F20/255+0.055)/1.055)^2.4)+0.0722*IF(G20/255&lt;=0.03928,G20/255/12.92,((G20/255+0.055)/1.055)^2.4)</f>
        <v>0.0119419413966254</v>
      </c>
      <c r="I20" s="8" t="s">
        <v>58</v>
      </c>
      <c r="J20" s="10" t="s">
        <v>79</v>
      </c>
    </row>
    <row r="21" customFormat="false" ht="15" hidden="false" customHeight="false" outlineLevel="0" collapsed="false">
      <c r="A21" s="4" t="s">
        <v>80</v>
      </c>
      <c r="B21" s="26"/>
      <c r="C21" s="6" t="s">
        <v>81</v>
      </c>
      <c r="D21" s="7" t="s">
        <v>82</v>
      </c>
      <c r="E21" s="8" t="n">
        <f aca="false">HEX2DEC(MID(C21,2,2))</f>
        <v>31</v>
      </c>
      <c r="F21" s="8" t="n">
        <f aca="false">HEX2DEC(MID(C21,4,2))</f>
        <v>157</v>
      </c>
      <c r="G21" s="8" t="n">
        <f aca="false">HEX2DEC(MID(C21,6,2))</f>
        <v>85</v>
      </c>
      <c r="H21" s="9" t="n">
        <f aca="false">0.2126*IF(E21/255&lt;=0.03928,E21/255/12.92,((E21/255+0.055)/1.055)^2.4)+0.7152*IF(F21/255&lt;=0.03928,F21/255/12.92,((F21/255+0.055)/1.055)^2.4)+0.0722*IF(G21/255&lt;=0.03928,G21/255/12.92,((G21/255+0.055)/1.055)^2.4)</f>
        <v>0.250611251885862</v>
      </c>
      <c r="I21" s="8" t="s">
        <v>83</v>
      </c>
      <c r="J21" s="10" t="s">
        <v>84</v>
      </c>
    </row>
    <row r="22" customFormat="false" ht="15" hidden="false" customHeight="false" outlineLevel="0" collapsed="false">
      <c r="A22" s="4" t="s">
        <v>85</v>
      </c>
      <c r="B22" s="27"/>
      <c r="C22" s="6" t="s">
        <v>86</v>
      </c>
      <c r="D22" s="7" t="s">
        <v>87</v>
      </c>
      <c r="E22" s="8" t="n">
        <f aca="false">HEX2DEC(MID(C22,2,2))</f>
        <v>245</v>
      </c>
      <c r="F22" s="8" t="n">
        <f aca="false">HEX2DEC(MID(C22,4,2))</f>
        <v>158</v>
      </c>
      <c r="G22" s="8" t="n">
        <f aca="false">HEX2DEC(MID(C22,6,2))</f>
        <v>11</v>
      </c>
      <c r="H22" s="9" t="n">
        <f aca="false">0.2126*IF(E22/255&lt;=0.03928,E22/255/12.92,((E22/255+0.055)/1.055)^2.4)+0.7152*IF(F22/255&lt;=0.03928,F22/255/12.92,((F22/255+0.055)/1.055)^2.4)+0.0722*IF(G22/255&lt;=0.03928,G22/255/12.92,((G22/255+0.055)/1.055)^2.4)</f>
        <v>0.438903589948109</v>
      </c>
      <c r="I22" s="8" t="s">
        <v>83</v>
      </c>
      <c r="J22" s="10" t="s">
        <v>88</v>
      </c>
    </row>
    <row r="23" customFormat="false" ht="15" hidden="false" customHeight="false" outlineLevel="0" collapsed="false">
      <c r="A23" s="4" t="s">
        <v>89</v>
      </c>
      <c r="B23" s="28"/>
      <c r="C23" s="6" t="s">
        <v>90</v>
      </c>
      <c r="D23" s="7" t="s">
        <v>91</v>
      </c>
      <c r="E23" s="8" t="n">
        <f aca="false">HEX2DEC(MID(C23,2,2))</f>
        <v>214</v>
      </c>
      <c r="F23" s="8" t="n">
        <f aca="false">HEX2DEC(MID(C23,4,2))</f>
        <v>69</v>
      </c>
      <c r="G23" s="8" t="n">
        <f aca="false">HEX2DEC(MID(C23,6,2))</f>
        <v>69</v>
      </c>
      <c r="H23" s="9" t="n">
        <f aca="false">0.2126*IF(E23/255&lt;=0.03928,E23/255/12.92,((E23/255+0.055)/1.055)^2.4)+0.7152*IF(F23/255&lt;=0.03928,F23/255/12.92,((F23/255+0.055)/1.055)^2.4)+0.0722*IF(G23/255&lt;=0.03928,G23/255/12.92,((G23/255+0.055)/1.055)^2.4)</f>
        <v>0.189820564098736</v>
      </c>
      <c r="I23" s="8" t="s">
        <v>83</v>
      </c>
      <c r="J23" s="10" t="s">
        <v>92</v>
      </c>
    </row>
    <row r="25" customFormat="false" ht="15" hidden="false" customHeight="false" outlineLevel="0" collapsed="false">
      <c r="A25" s="2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6" min="5" style="0" width="20"/>
    <col collapsed="false" customWidth="true" hidden="false" outlineLevel="0" max="7" min="7" style="0" width="34"/>
  </cols>
  <sheetData>
    <row r="1" customFormat="false" ht="24" hidden="false" customHeight="true" outlineLevel="0" collapsed="false">
      <c r="A1" s="1" t="s">
        <v>94</v>
      </c>
    </row>
    <row r="2" customFormat="false" ht="15" hidden="false" customHeight="false" outlineLevel="0" collapsed="false">
      <c r="A2" s="2" t="s">
        <v>95</v>
      </c>
    </row>
    <row r="4" customFormat="false" ht="27.75" hidden="false" customHeight="true" outlineLevel="0" collapsed="false">
      <c r="A4" s="3" t="s">
        <v>96</v>
      </c>
      <c r="B4" s="3" t="s">
        <v>97</v>
      </c>
      <c r="C4" s="3" t="s">
        <v>98</v>
      </c>
      <c r="D4" s="3" t="s">
        <v>99</v>
      </c>
      <c r="E4" s="3" t="s">
        <v>100</v>
      </c>
      <c r="F4" s="3" t="s">
        <v>101</v>
      </c>
      <c r="G4" s="3" t="s">
        <v>102</v>
      </c>
    </row>
    <row r="5" customFormat="false" ht="15" hidden="false" customHeight="false" outlineLevel="0" collapsed="false">
      <c r="A5" s="10" t="s">
        <v>55</v>
      </c>
      <c r="B5" s="10" t="s">
        <v>12</v>
      </c>
      <c r="C5" s="10" t="s">
        <v>103</v>
      </c>
      <c r="D5" s="29" t="n">
        <f aca="false">(MAX(INDEX(Paleta!$H$5:$H$23,MATCH(A5,Paleta!$A$5:$A$23,0)),INDEX(Paleta!$H$5:$H$23,MATCH(B5,Paleta!$A$5:$A$23,0)))+0.05)/(MIN(INDEX(Paleta!$H$5:$H$23,MATCH(A5,Paleta!$A$5:$A$23,0)),INDEX(Paleta!$H$5:$H$23,MATCH(B5,Paleta!$A$5:$A$23,0)))+0.05)</f>
        <v>3.11962557121583</v>
      </c>
      <c r="E5" s="30" t="str">
        <f aca="false">IF(D5&gt;=4.5,"Cumple","No cumple")</f>
        <v>No cumple</v>
      </c>
      <c r="F5" s="30" t="str">
        <f aca="false">IF(D5&gt;=3,"Cumple","No cumple")</f>
        <v>Cumple</v>
      </c>
      <c r="G5" s="10" t="str">
        <f aca="false">IF(D5&gt;=4.5,"Apto para cualquier texto",IF(D5&gt;=3,"Solo texto grande o en negrita","No recomendado para texto"))</f>
        <v>Solo texto grande o en negrita</v>
      </c>
    </row>
    <row r="6" customFormat="false" ht="15" hidden="false" customHeight="false" outlineLevel="0" collapsed="false">
      <c r="A6" s="10" t="s">
        <v>55</v>
      </c>
      <c r="B6" s="10" t="s">
        <v>21</v>
      </c>
      <c r="C6" s="10" t="s">
        <v>104</v>
      </c>
      <c r="D6" s="29" t="n">
        <f aca="false">(MAX(INDEX(Paleta!$H$5:$H$23,MATCH(A6,Paleta!$A$5:$A$23,0)),INDEX(Paleta!$H$5:$H$23,MATCH(B6,Paleta!$A$5:$A$23,0)))+0.05)/(MIN(INDEX(Paleta!$H$5:$H$23,MATCH(A6,Paleta!$A$5:$A$23,0)),INDEX(Paleta!$H$5:$H$23,MATCH(B6,Paleta!$A$5:$A$23,0)))+0.05)</f>
        <v>5.31018218327104</v>
      </c>
      <c r="E6" s="30" t="str">
        <f aca="false">IF(D6&gt;=4.5,"Cumple","No cumple")</f>
        <v>Cumple</v>
      </c>
      <c r="F6" s="30" t="str">
        <f aca="false">IF(D6&gt;=3,"Cumple","No cumple")</f>
        <v>Cumple</v>
      </c>
      <c r="G6" s="10" t="str">
        <f aca="false">IF(D6&gt;=4.5,"Apto para cualquier texto",IF(D6&gt;=3,"Solo texto grande o en negrita","No recomendado para texto"))</f>
        <v>Apto para cualquier texto</v>
      </c>
    </row>
    <row r="7" customFormat="false" ht="15" hidden="false" customHeight="false" outlineLevel="0" collapsed="false">
      <c r="A7" s="10" t="s">
        <v>55</v>
      </c>
      <c r="B7" s="10" t="s">
        <v>29</v>
      </c>
      <c r="C7" s="10" t="s">
        <v>105</v>
      </c>
      <c r="D7" s="29" t="n">
        <f aca="false">(MAX(INDEX(Paleta!$H$5:$H$23,MATCH(A7,Paleta!$A$5:$A$23,0)),INDEX(Paleta!$H$5:$H$23,MATCH(B7,Paleta!$A$5:$A$23,0)))+0.05)/(MIN(INDEX(Paleta!$H$5:$H$23,MATCH(A7,Paleta!$A$5:$A$23,0)),INDEX(Paleta!$H$5:$H$23,MATCH(B7,Paleta!$A$5:$A$23,0)))+0.05)</f>
        <v>7.82986047959407</v>
      </c>
      <c r="E7" s="30" t="str">
        <f aca="false">IF(D7&gt;=4.5,"Cumple","No cumple")</f>
        <v>Cumple</v>
      </c>
      <c r="F7" s="30" t="str">
        <f aca="false">IF(D7&gt;=3,"Cumple","No cumple")</f>
        <v>Cumple</v>
      </c>
      <c r="G7" s="10" t="str">
        <f aca="false">IF(D7&gt;=4.5,"Apto para cualquier texto",IF(D7&gt;=3,"Solo texto grande o en negrita","No recomendado para texto"))</f>
        <v>Apto para cualquier texto</v>
      </c>
    </row>
    <row r="8" customFormat="false" ht="15" hidden="false" customHeight="false" outlineLevel="0" collapsed="false">
      <c r="A8" s="10" t="s">
        <v>55</v>
      </c>
      <c r="B8" s="10" t="s">
        <v>38</v>
      </c>
      <c r="C8" s="10" t="s">
        <v>106</v>
      </c>
      <c r="D8" s="29" t="n">
        <f aca="false">(MAX(INDEX(Paleta!$H$5:$H$23,MATCH(A8,Paleta!$A$5:$A$23,0)),INDEX(Paleta!$H$5:$H$23,MATCH(B8,Paleta!$A$5:$A$23,0)))+0.05)/(MIN(INDEX(Paleta!$H$5:$H$23,MATCH(A8,Paleta!$A$5:$A$23,0)),INDEX(Paleta!$H$5:$H$23,MATCH(B8,Paleta!$A$5:$A$23,0)))+0.05)</f>
        <v>11.7945378036444</v>
      </c>
      <c r="E8" s="30" t="str">
        <f aca="false">IF(D8&gt;=4.5,"Cumple","No cumple")</f>
        <v>Cumple</v>
      </c>
      <c r="F8" s="30" t="str">
        <f aca="false">IF(D8&gt;=3,"Cumple","No cumple")</f>
        <v>Cumple</v>
      </c>
      <c r="G8" s="10" t="str">
        <f aca="false">IF(D8&gt;=4.5,"Apto para cualquier texto",IF(D8&gt;=3,"Solo texto grande o en negrita","No recomendado para texto"))</f>
        <v>Apto para cualquier texto</v>
      </c>
    </row>
    <row r="9" customFormat="false" ht="15" hidden="false" customHeight="false" outlineLevel="0" collapsed="false">
      <c r="A9" s="10" t="s">
        <v>29</v>
      </c>
      <c r="B9" s="10" t="s">
        <v>55</v>
      </c>
      <c r="C9" s="10" t="s">
        <v>107</v>
      </c>
      <c r="D9" s="29" t="n">
        <f aca="false">(MAX(INDEX(Paleta!$H$5:$H$23,MATCH(A9,Paleta!$A$5:$A$23,0)),INDEX(Paleta!$H$5:$H$23,MATCH(B9,Paleta!$A$5:$A$23,0)))+0.05)/(MIN(INDEX(Paleta!$H$5:$H$23,MATCH(A9,Paleta!$A$5:$A$23,0)),INDEX(Paleta!$H$5:$H$23,MATCH(B9,Paleta!$A$5:$A$23,0)))+0.05)</f>
        <v>7.82986047959407</v>
      </c>
      <c r="E9" s="30" t="str">
        <f aca="false">IF(D9&gt;=4.5,"Cumple","No cumple")</f>
        <v>Cumple</v>
      </c>
      <c r="F9" s="30" t="str">
        <f aca="false">IF(D9&gt;=3,"Cumple","No cumple")</f>
        <v>Cumple</v>
      </c>
      <c r="G9" s="10" t="str">
        <f aca="false">IF(D9&gt;=4.5,"Apto para cualquier texto",IF(D9&gt;=3,"Solo texto grande o en negrita","No recomendado para texto"))</f>
        <v>Apto para cualquier texto</v>
      </c>
    </row>
    <row r="10" customFormat="false" ht="15" hidden="false" customHeight="false" outlineLevel="0" collapsed="false">
      <c r="A10" s="10" t="s">
        <v>21</v>
      </c>
      <c r="B10" s="10" t="s">
        <v>55</v>
      </c>
      <c r="C10" s="10" t="s">
        <v>108</v>
      </c>
      <c r="D10" s="29" t="n">
        <f aca="false">(MAX(INDEX(Paleta!$H$5:$H$23,MATCH(A10,Paleta!$A$5:$A$23,0)),INDEX(Paleta!$H$5:$H$23,MATCH(B10,Paleta!$A$5:$A$23,0)))+0.05)/(MIN(INDEX(Paleta!$H$5:$H$23,MATCH(A10,Paleta!$A$5:$A$23,0)),INDEX(Paleta!$H$5:$H$23,MATCH(B10,Paleta!$A$5:$A$23,0)))+0.05)</f>
        <v>5.31018218327104</v>
      </c>
      <c r="E10" s="30" t="str">
        <f aca="false">IF(D10&gt;=4.5,"Cumple","No cumple")</f>
        <v>Cumple</v>
      </c>
      <c r="F10" s="30" t="str">
        <f aca="false">IF(D10&gt;=3,"Cumple","No cumple")</f>
        <v>Cumple</v>
      </c>
      <c r="G10" s="10" t="str">
        <f aca="false">IF(D10&gt;=4.5,"Apto para cualquier texto",IF(D10&gt;=3,"Solo texto grande o en negrita","No recomendado para texto"))</f>
        <v>Apto para cualquier texto</v>
      </c>
    </row>
    <row r="11" customFormat="false" ht="15" hidden="false" customHeight="false" outlineLevel="0" collapsed="false">
      <c r="A11" s="10" t="s">
        <v>12</v>
      </c>
      <c r="B11" s="10" t="s">
        <v>55</v>
      </c>
      <c r="C11" s="10" t="s">
        <v>109</v>
      </c>
      <c r="D11" s="29" t="n">
        <f aca="false">(MAX(INDEX(Paleta!$H$5:$H$23,MATCH(A11,Paleta!$A$5:$A$23,0)),INDEX(Paleta!$H$5:$H$23,MATCH(B11,Paleta!$A$5:$A$23,0)))+0.05)/(MIN(INDEX(Paleta!$H$5:$H$23,MATCH(A11,Paleta!$A$5:$A$23,0)),INDEX(Paleta!$H$5:$H$23,MATCH(B11,Paleta!$A$5:$A$23,0)))+0.05)</f>
        <v>3.11962557121583</v>
      </c>
      <c r="E11" s="30" t="str">
        <f aca="false">IF(D11&gt;=4.5,"Cumple","No cumple")</f>
        <v>No cumple</v>
      </c>
      <c r="F11" s="30" t="str">
        <f aca="false">IF(D11&gt;=3,"Cumple","No cumple")</f>
        <v>Cumple</v>
      </c>
      <c r="G11" s="10" t="str">
        <f aca="false">IF(D11&gt;=4.5,"Apto para cualquier texto",IF(D11&gt;=3,"Solo texto grande o en negrita","No recomendado para texto"))</f>
        <v>Solo texto grande o en negrita</v>
      </c>
    </row>
    <row r="12" customFormat="false" ht="15" hidden="false" customHeight="false" outlineLevel="0" collapsed="false">
      <c r="A12" s="10" t="s">
        <v>42</v>
      </c>
      <c r="B12" s="10" t="s">
        <v>46</v>
      </c>
      <c r="C12" s="10" t="s">
        <v>110</v>
      </c>
      <c r="D12" s="29" t="n">
        <f aca="false">(MAX(INDEX(Paleta!$H$5:$H$23,MATCH(A12,Paleta!$A$5:$A$23,0)),INDEX(Paleta!$H$5:$H$23,MATCH(B12,Paleta!$A$5:$A$23,0)))+0.05)/(MIN(INDEX(Paleta!$H$5:$H$23,MATCH(A12,Paleta!$A$5:$A$23,0)),INDEX(Paleta!$H$5:$H$23,MATCH(B12,Paleta!$A$5:$A$23,0)))+0.05)</f>
        <v>9.57953536010324</v>
      </c>
      <c r="E12" s="30" t="str">
        <f aca="false">IF(D12&gt;=4.5,"Cumple","No cumple")</f>
        <v>Cumple</v>
      </c>
      <c r="F12" s="30" t="str">
        <f aca="false">IF(D12&gt;=3,"Cumple","No cumple")</f>
        <v>Cumple</v>
      </c>
      <c r="G12" s="10" t="str">
        <f aca="false">IF(D12&gt;=4.5,"Apto para cualquier texto",IF(D12&gt;=3,"Solo texto grande o en negrita","No recomendado para texto"))</f>
        <v>Apto para cualquier texto</v>
      </c>
    </row>
    <row r="13" customFormat="false" ht="15" hidden="false" customHeight="false" outlineLevel="0" collapsed="false">
      <c r="A13" s="10" t="s">
        <v>68</v>
      </c>
      <c r="B13" s="10" t="s">
        <v>60</v>
      </c>
      <c r="C13" s="10" t="s">
        <v>111</v>
      </c>
      <c r="D13" s="29" t="n">
        <f aca="false">(MAX(INDEX(Paleta!$H$5:$H$23,MATCH(A13,Paleta!$A$5:$A$23,0)),INDEX(Paleta!$H$5:$H$23,MATCH(B13,Paleta!$A$5:$A$23,0)))+0.05)/(MIN(INDEX(Paleta!$H$5:$H$23,MATCH(A13,Paleta!$A$5:$A$23,0)),INDEX(Paleta!$H$5:$H$23,MATCH(B13,Paleta!$A$5:$A$23,0)))+0.05)</f>
        <v>14.8075377386053</v>
      </c>
      <c r="E13" s="30" t="str">
        <f aca="false">IF(D13&gt;=4.5,"Cumple","No cumple")</f>
        <v>Cumple</v>
      </c>
      <c r="F13" s="30" t="str">
        <f aca="false">IF(D13&gt;=3,"Cumple","No cumple")</f>
        <v>Cumple</v>
      </c>
      <c r="G13" s="10" t="str">
        <f aca="false">IF(D13&gt;=4.5,"Apto para cualquier texto",IF(D13&gt;=3,"Solo texto grande o en negrita","No recomendado para texto"))</f>
        <v>Apto para cualquier texto</v>
      </c>
    </row>
    <row r="14" customFormat="false" ht="15" hidden="false" customHeight="false" outlineLevel="0" collapsed="false">
      <c r="A14" s="10" t="s">
        <v>72</v>
      </c>
      <c r="B14" s="10" t="s">
        <v>55</v>
      </c>
      <c r="C14" s="10" t="s">
        <v>112</v>
      </c>
      <c r="D14" s="29" t="n">
        <f aca="false">(MAX(INDEX(Paleta!$H$5:$H$23,MATCH(A14,Paleta!$A$5:$A$23,0)),INDEX(Paleta!$H$5:$H$23,MATCH(B14,Paleta!$A$5:$A$23,0)))+0.05)/(MIN(INDEX(Paleta!$H$5:$H$23,MATCH(A14,Paleta!$A$5:$A$23,0)),INDEX(Paleta!$H$5:$H$23,MATCH(B14,Paleta!$A$5:$A$23,0)))+0.05)</f>
        <v>5.93524307299623</v>
      </c>
      <c r="E14" s="30" t="str">
        <f aca="false">IF(D14&gt;=4.5,"Cumple","No cumple")</f>
        <v>Cumple</v>
      </c>
      <c r="F14" s="30" t="str">
        <f aca="false">IF(D14&gt;=3,"Cumple","No cumple")</f>
        <v>Cumple</v>
      </c>
      <c r="G14" s="10" t="str">
        <f aca="false">IF(D14&gt;=4.5,"Apto para cualquier texto",IF(D14&gt;=3,"Solo texto grande o en negrita","No recomendado para texto"))</f>
        <v>Apto para cualquier texto</v>
      </c>
    </row>
    <row r="15" customFormat="false" ht="15" hidden="false" customHeight="false" outlineLevel="0" collapsed="false">
      <c r="A15" s="10" t="s">
        <v>46</v>
      </c>
      <c r="B15" s="10" t="s">
        <v>42</v>
      </c>
      <c r="C15" s="10" t="s">
        <v>113</v>
      </c>
      <c r="D15" s="29" t="n">
        <f aca="false">(MAX(INDEX(Paleta!$H$5:$H$23,MATCH(A15,Paleta!$A$5:$A$23,0)),INDEX(Paleta!$H$5:$H$23,MATCH(B15,Paleta!$A$5:$A$23,0)))+0.05)/(MIN(INDEX(Paleta!$H$5:$H$23,MATCH(A15,Paleta!$A$5:$A$23,0)),INDEX(Paleta!$H$5:$H$23,MATCH(B15,Paleta!$A$5:$A$23,0)))+0.05)</f>
        <v>9.57953536010324</v>
      </c>
      <c r="E15" s="30" t="str">
        <f aca="false">IF(D15&gt;=4.5,"Cumple","No cumple")</f>
        <v>Cumple</v>
      </c>
      <c r="F15" s="30" t="str">
        <f aca="false">IF(D15&gt;=3,"Cumple","No cumple")</f>
        <v>Cumple</v>
      </c>
      <c r="G15" s="10" t="str">
        <f aca="false">IF(D15&gt;=4.5,"Apto para cualquier texto",IF(D15&gt;=3,"Solo texto grande o en negrita","No recomendado para texto"))</f>
        <v>Apto para cualquier texto</v>
      </c>
    </row>
    <row r="16" customFormat="false" ht="15" hidden="false" customHeight="false" outlineLevel="0" collapsed="false">
      <c r="A16" s="10" t="s">
        <v>55</v>
      </c>
      <c r="B16" s="10" t="s">
        <v>42</v>
      </c>
      <c r="C16" s="10" t="s">
        <v>114</v>
      </c>
      <c r="D16" s="29" t="n">
        <f aca="false">(MAX(INDEX(Paleta!$H$5:$H$23,MATCH(A16,Paleta!$A$5:$A$23,0)),INDEX(Paleta!$H$5:$H$23,MATCH(B16,Paleta!$A$5:$A$23,0)))+0.05)/(MIN(INDEX(Paleta!$H$5:$H$23,MATCH(A16,Paleta!$A$5:$A$23,0)),INDEX(Paleta!$H$5:$H$23,MATCH(B16,Paleta!$A$5:$A$23,0)))+0.05)</f>
        <v>15.4183958583208</v>
      </c>
      <c r="E16" s="30" t="str">
        <f aca="false">IF(D16&gt;=4.5,"Cumple","No cumple")</f>
        <v>Cumple</v>
      </c>
      <c r="F16" s="30" t="str">
        <f aca="false">IF(D16&gt;=3,"Cumple","No cumple")</f>
        <v>Cumple</v>
      </c>
      <c r="G16" s="10" t="str">
        <f aca="false">IF(D16&gt;=4.5,"Apto para cualquier texto",IF(D16&gt;=3,"Solo texto grande o en negrita","No recomendado para texto"))</f>
        <v>Apto para cualquier texto</v>
      </c>
    </row>
    <row r="17" customFormat="false" ht="15" hidden="false" customHeight="false" outlineLevel="0" collapsed="false">
      <c r="A17" s="10" t="s">
        <v>55</v>
      </c>
      <c r="B17" s="10" t="s">
        <v>76</v>
      </c>
      <c r="C17" s="10" t="s">
        <v>115</v>
      </c>
      <c r="D17" s="29" t="n">
        <f aca="false">(MAX(INDEX(Paleta!$H$5:$H$23,MATCH(A17,Paleta!$A$5:$A$23,0)),INDEX(Paleta!$H$5:$H$23,MATCH(B17,Paleta!$A$5:$A$23,0)))+0.05)/(MIN(INDEX(Paleta!$H$5:$H$23,MATCH(A17,Paleta!$A$5:$A$23,0)),INDEX(Paleta!$H$5:$H$23,MATCH(B17,Paleta!$A$5:$A$23,0)))+0.05)</f>
        <v>16.9513576152975</v>
      </c>
      <c r="E17" s="30" t="str">
        <f aca="false">IF(D17&gt;=4.5,"Cumple","No cumple")</f>
        <v>Cumple</v>
      </c>
      <c r="F17" s="30" t="str">
        <f aca="false">IF(D17&gt;=3,"Cumple","No cumple")</f>
        <v>Cumple</v>
      </c>
      <c r="G17" s="10" t="str">
        <f aca="false">IF(D17&gt;=4.5,"Apto para cualquier texto",IF(D17&gt;=3,"Solo texto grande o en negrita","No recomendado para texto"))</f>
        <v>Apto para cualquier texto</v>
      </c>
    </row>
    <row r="18" customFormat="false" ht="15" hidden="false" customHeight="false" outlineLevel="0" collapsed="false">
      <c r="A18" s="10" t="s">
        <v>21</v>
      </c>
      <c r="B18" s="10" t="s">
        <v>60</v>
      </c>
      <c r="C18" s="10" t="s">
        <v>116</v>
      </c>
      <c r="D18" s="29" t="n">
        <f aca="false">(MAX(INDEX(Paleta!$H$5:$H$23,MATCH(A18,Paleta!$A$5:$A$23,0)),INDEX(Paleta!$H$5:$H$23,MATCH(B18,Paleta!$A$5:$A$23,0)))+0.05)/(MIN(INDEX(Paleta!$H$5:$H$23,MATCH(A18,Paleta!$A$5:$A$23,0)),INDEX(Paleta!$H$5:$H$23,MATCH(B18,Paleta!$A$5:$A$23,0)))+0.05)</f>
        <v>5.0010075818122</v>
      </c>
      <c r="E18" s="30" t="str">
        <f aca="false">IF(D18&gt;=4.5,"Cumple","No cumple")</f>
        <v>Cumple</v>
      </c>
      <c r="F18" s="30" t="str">
        <f aca="false">IF(D18&gt;=3,"Cumple","No cumple")</f>
        <v>Cumple</v>
      </c>
      <c r="G18" s="10" t="str">
        <f aca="false">IF(D18&gt;=4.5,"Apto para cualquier texto",IF(D18&gt;=3,"Solo texto grande o en negrita","No recomendado para texto"))</f>
        <v>Apto para cualquier texto</v>
      </c>
    </row>
    <row r="20" customFormat="false" ht="15" hidden="false" customHeight="false" outlineLevel="0" collapsed="false">
      <c r="A20" s="31" t="s">
        <v>117</v>
      </c>
    </row>
    <row r="21" customFormat="false" ht="15" hidden="false" customHeight="false" outlineLevel="0" collapsed="false">
      <c r="A21" s="32" t="s">
        <v>118</v>
      </c>
      <c r="D21" s="33" t="n">
        <f aca="false">COUNTA(A5:A18)</f>
        <v>14</v>
      </c>
    </row>
    <row r="22" customFormat="false" ht="15" hidden="false" customHeight="false" outlineLevel="0" collapsed="false">
      <c r="A22" s="32" t="s">
        <v>119</v>
      </c>
      <c r="D22" s="33" t="n">
        <f aca="false">COUNTIF(E5:E18,"Cumple")</f>
        <v>12</v>
      </c>
    </row>
    <row r="23" customFormat="false" ht="15" hidden="false" customHeight="false" outlineLevel="0" collapsed="false">
      <c r="A23" s="32" t="s">
        <v>120</v>
      </c>
      <c r="D23" s="33" t="n">
        <f aca="false">COUNTIF(G5:G18,"Solo texto grande o en negrita")</f>
        <v>2</v>
      </c>
    </row>
    <row r="24" customFormat="false" ht="15" hidden="false" customHeight="false" outlineLevel="0" collapsed="false">
      <c r="A24" s="32" t="s">
        <v>121</v>
      </c>
      <c r="D24" s="34" t="n">
        <f aca="false">MIN(D5:D18)</f>
        <v>3.11962557121583</v>
      </c>
    </row>
    <row r="25" customFormat="false" ht="15" hidden="false" customHeight="false" outlineLevel="0" collapsed="false">
      <c r="A25" s="32" t="s">
        <v>122</v>
      </c>
      <c r="D25" s="34" t="n">
        <f aca="false">MAX(D5:D18)</f>
        <v>16.9513576152975</v>
      </c>
    </row>
  </sheetData>
  <conditionalFormatting sqref="E5:F18">
    <cfRule type="expression" priority="2" aboveAverage="0" equalAverage="0" bottom="0" percent="0" rank="0" text="" dxfId="0">
      <formula>E5="Cumple"</formula>
    </cfRule>
    <cfRule type="expression" priority="3" aboveAverage="0" equalAverage="0" bottom="0" percent="0" rank="0" text="" dxfId="1">
      <formula>E5="No cumple"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58"/>
  </cols>
  <sheetData>
    <row r="1" customFormat="false" ht="24" hidden="false" customHeight="true" outlineLevel="0" collapsed="false">
      <c r="A1" s="1" t="s">
        <v>123</v>
      </c>
    </row>
    <row r="2" customFormat="false" ht="15" hidden="false" customHeight="false" outlineLevel="0" collapsed="false">
      <c r="A2" s="2" t="s">
        <v>124</v>
      </c>
    </row>
    <row r="4" customFormat="false" ht="27.75" hidden="false" customHeight="true" outlineLevel="0" collapsed="false">
      <c r="A4" s="3" t="s">
        <v>125</v>
      </c>
      <c r="B4" s="3" t="s">
        <v>126</v>
      </c>
      <c r="C4" s="3" t="s">
        <v>60</v>
      </c>
      <c r="D4" s="3" t="s">
        <v>127</v>
      </c>
      <c r="E4" s="3" t="s">
        <v>128</v>
      </c>
    </row>
    <row r="5" customFormat="false" ht="15" hidden="false" customHeight="false" outlineLevel="0" collapsed="false">
      <c r="A5" s="4" t="s">
        <v>129</v>
      </c>
      <c r="B5" s="35" t="s">
        <v>130</v>
      </c>
      <c r="C5" s="10" t="s">
        <v>131</v>
      </c>
      <c r="D5" s="10" t="s">
        <v>29</v>
      </c>
      <c r="E5" s="10" t="s">
        <v>132</v>
      </c>
    </row>
    <row r="6" customFormat="false" ht="15" hidden="false" customHeight="false" outlineLevel="0" collapsed="false">
      <c r="A6" s="4" t="s">
        <v>133</v>
      </c>
      <c r="B6" s="35" t="s">
        <v>134</v>
      </c>
      <c r="C6" s="10" t="s">
        <v>131</v>
      </c>
      <c r="D6" s="10" t="s">
        <v>12</v>
      </c>
      <c r="E6" s="10" t="s">
        <v>135</v>
      </c>
    </row>
    <row r="7" customFormat="false" ht="15" hidden="false" customHeight="false" outlineLevel="0" collapsed="false">
      <c r="A7" s="4" t="s">
        <v>136</v>
      </c>
      <c r="B7" s="35" t="s">
        <v>137</v>
      </c>
      <c r="C7" s="10" t="s">
        <v>131</v>
      </c>
      <c r="D7" s="10" t="s">
        <v>21</v>
      </c>
      <c r="E7" s="10" t="s">
        <v>138</v>
      </c>
    </row>
    <row r="8" customFormat="false" ht="15" hidden="false" customHeight="false" outlineLevel="0" collapsed="false">
      <c r="A8" s="4" t="s">
        <v>139</v>
      </c>
      <c r="B8" s="35" t="s">
        <v>140</v>
      </c>
      <c r="C8" s="10" t="s">
        <v>131</v>
      </c>
      <c r="D8" s="10" t="s">
        <v>21</v>
      </c>
      <c r="E8" s="10" t="s">
        <v>141</v>
      </c>
    </row>
    <row r="9" customFormat="false" ht="15" hidden="false" customHeight="false" outlineLevel="0" collapsed="false">
      <c r="A9" s="4" t="s">
        <v>142</v>
      </c>
      <c r="B9" s="35" t="s">
        <v>143</v>
      </c>
      <c r="C9" s="10" t="s">
        <v>131</v>
      </c>
      <c r="D9" s="10" t="s">
        <v>29</v>
      </c>
      <c r="E9" s="10" t="s">
        <v>144</v>
      </c>
    </row>
    <row r="10" customFormat="false" ht="15" hidden="false" customHeight="false" outlineLevel="0" collapsed="false">
      <c r="A10" s="4" t="s">
        <v>145</v>
      </c>
      <c r="B10" s="35" t="s">
        <v>146</v>
      </c>
      <c r="C10" s="10" t="s">
        <v>12</v>
      </c>
      <c r="D10" s="10" t="s">
        <v>55</v>
      </c>
      <c r="E10" s="10" t="s">
        <v>144</v>
      </c>
    </row>
    <row r="11" customFormat="false" ht="15" hidden="false" customHeight="false" outlineLevel="0" collapsed="false">
      <c r="A11" s="4" t="s">
        <v>147</v>
      </c>
      <c r="B11" s="35" t="s">
        <v>148</v>
      </c>
      <c r="C11" s="10" t="s">
        <v>29</v>
      </c>
      <c r="D11" s="10" t="s">
        <v>55</v>
      </c>
      <c r="E11" s="10" t="s">
        <v>149</v>
      </c>
    </row>
    <row r="12" customFormat="false" ht="15" hidden="false" customHeight="false" outlineLevel="0" collapsed="false">
      <c r="A12" s="4" t="s">
        <v>150</v>
      </c>
      <c r="B12" s="35" t="s">
        <v>151</v>
      </c>
      <c r="C12" s="10" t="s">
        <v>46</v>
      </c>
      <c r="D12" s="10" t="s">
        <v>42</v>
      </c>
      <c r="E12" s="10" t="s">
        <v>152</v>
      </c>
    </row>
    <row r="13" customFormat="false" ht="15" hidden="false" customHeight="false" outlineLevel="0" collapsed="false">
      <c r="A13" s="4" t="s">
        <v>153</v>
      </c>
      <c r="B13" s="35" t="s">
        <v>154</v>
      </c>
      <c r="C13" s="10" t="s">
        <v>155</v>
      </c>
      <c r="D13" s="10" t="s">
        <v>29</v>
      </c>
      <c r="E13" s="10" t="s">
        <v>156</v>
      </c>
    </row>
    <row r="14" customFormat="false" ht="15" hidden="false" customHeight="false" outlineLevel="0" collapsed="false">
      <c r="A14" s="4" t="s">
        <v>157</v>
      </c>
      <c r="B14" s="35" t="s">
        <v>158</v>
      </c>
      <c r="C14" s="10" t="s">
        <v>155</v>
      </c>
      <c r="D14" s="10" t="s">
        <v>55</v>
      </c>
      <c r="E14" s="10" t="s">
        <v>159</v>
      </c>
    </row>
    <row r="15" customFormat="false" ht="15" hidden="false" customHeight="false" outlineLevel="0" collapsed="false">
      <c r="A15" s="4" t="s">
        <v>160</v>
      </c>
      <c r="B15" s="35" t="s">
        <v>161</v>
      </c>
      <c r="C15" s="10" t="s">
        <v>162</v>
      </c>
      <c r="D15" s="10" t="s">
        <v>29</v>
      </c>
      <c r="E15" s="10" t="s">
        <v>163</v>
      </c>
    </row>
    <row r="16" customFormat="false" ht="15" hidden="false" customHeight="false" outlineLevel="0" collapsed="false">
      <c r="A16" s="4" t="s">
        <v>164</v>
      </c>
      <c r="B16" s="35" t="s">
        <v>165</v>
      </c>
      <c r="C16" s="10" t="s">
        <v>166</v>
      </c>
      <c r="D16" s="10" t="s">
        <v>55</v>
      </c>
      <c r="E16" s="10" t="s">
        <v>167</v>
      </c>
    </row>
    <row r="17" customFormat="false" ht="15" hidden="false" customHeight="false" outlineLevel="0" collapsed="false">
      <c r="A17" s="4" t="s">
        <v>168</v>
      </c>
      <c r="B17" s="35" t="s">
        <v>169</v>
      </c>
      <c r="C17" s="10" t="s">
        <v>42</v>
      </c>
      <c r="D17" s="10" t="s">
        <v>55</v>
      </c>
      <c r="E17" s="10" t="s">
        <v>170</v>
      </c>
    </row>
    <row r="18" customFormat="false" ht="15" hidden="false" customHeight="false" outlineLevel="0" collapsed="false">
      <c r="A18" s="4" t="s">
        <v>171</v>
      </c>
      <c r="B18" s="35" t="s">
        <v>172</v>
      </c>
      <c r="C18" s="10" t="s">
        <v>55</v>
      </c>
      <c r="D18" s="10" t="s">
        <v>68</v>
      </c>
      <c r="E18" s="10" t="s">
        <v>173</v>
      </c>
    </row>
    <row r="19" customFormat="false" ht="15" hidden="false" customHeight="false" outlineLevel="0" collapsed="false">
      <c r="A19" s="4" t="s">
        <v>174</v>
      </c>
      <c r="B19" s="35" t="s">
        <v>175</v>
      </c>
      <c r="C19" s="10" t="s">
        <v>176</v>
      </c>
      <c r="D19" s="10" t="s">
        <v>55</v>
      </c>
      <c r="E19" s="10"/>
    </row>
    <row r="20" customFormat="false" ht="15" hidden="false" customHeight="false" outlineLevel="0" collapsed="false">
      <c r="A20" s="4" t="s">
        <v>177</v>
      </c>
      <c r="B20" s="35" t="s">
        <v>178</v>
      </c>
      <c r="C20" s="10" t="s">
        <v>55</v>
      </c>
      <c r="D20" s="10" t="s">
        <v>12</v>
      </c>
      <c r="E20" s="10" t="s">
        <v>179</v>
      </c>
    </row>
    <row r="21" customFormat="false" ht="15" hidden="false" customHeight="false" outlineLevel="0" collapsed="false">
      <c r="A21" s="4" t="s">
        <v>180</v>
      </c>
      <c r="B21" s="35" t="s">
        <v>181</v>
      </c>
      <c r="C21" s="10" t="s">
        <v>55</v>
      </c>
      <c r="D21" s="10" t="s">
        <v>68</v>
      </c>
      <c r="E21" s="10" t="s">
        <v>182</v>
      </c>
    </row>
    <row r="22" customFormat="false" ht="15" hidden="false" customHeight="false" outlineLevel="0" collapsed="false">
      <c r="A22" s="4" t="s">
        <v>183</v>
      </c>
      <c r="B22" s="35" t="s">
        <v>184</v>
      </c>
      <c r="C22" s="10" t="s">
        <v>131</v>
      </c>
      <c r="D22" s="10" t="s">
        <v>29</v>
      </c>
      <c r="E22" s="10" t="s">
        <v>185</v>
      </c>
    </row>
    <row r="23" customFormat="false" ht="15" hidden="false" customHeight="false" outlineLevel="0" collapsed="false">
      <c r="A23" s="4" t="s">
        <v>186</v>
      </c>
      <c r="B23" s="35" t="s">
        <v>187</v>
      </c>
      <c r="C23" s="10" t="s">
        <v>29</v>
      </c>
      <c r="D23" s="10" t="s">
        <v>55</v>
      </c>
      <c r="E23" s="10"/>
    </row>
    <row r="24" customFormat="false" ht="15" hidden="false" customHeight="false" outlineLevel="0" collapsed="false">
      <c r="A24" s="4" t="s">
        <v>188</v>
      </c>
      <c r="B24" s="35" t="s">
        <v>189</v>
      </c>
      <c r="C24" s="10" t="s">
        <v>131</v>
      </c>
      <c r="D24" s="10" t="s">
        <v>12</v>
      </c>
      <c r="E24" s="10"/>
    </row>
    <row r="25" customFormat="false" ht="15" hidden="false" customHeight="false" outlineLevel="0" collapsed="false">
      <c r="A25" s="4" t="s">
        <v>190</v>
      </c>
      <c r="B25" s="35" t="s">
        <v>191</v>
      </c>
      <c r="C25" s="10" t="s">
        <v>176</v>
      </c>
      <c r="D25" s="10" t="s">
        <v>55</v>
      </c>
      <c r="E25" s="10"/>
    </row>
    <row r="26" customFormat="false" ht="15" hidden="false" customHeight="false" outlineLevel="0" collapsed="false">
      <c r="A26" s="4" t="s">
        <v>192</v>
      </c>
      <c r="B26" s="35" t="s">
        <v>193</v>
      </c>
      <c r="C26" s="10" t="s">
        <v>76</v>
      </c>
      <c r="D26" s="10" t="s">
        <v>194</v>
      </c>
      <c r="E26" s="10" t="s">
        <v>195</v>
      </c>
    </row>
    <row r="27" customFormat="false" ht="22.35" hidden="false" customHeight="false" outlineLevel="0" collapsed="false">
      <c r="A27" s="4" t="s">
        <v>196</v>
      </c>
      <c r="B27" s="35" t="s">
        <v>197</v>
      </c>
      <c r="C27" s="10" t="s">
        <v>198</v>
      </c>
      <c r="D27" s="10" t="s">
        <v>68</v>
      </c>
      <c r="E27" s="10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8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0"/>
  </cols>
  <sheetData>
    <row r="1" customFormat="false" ht="24" hidden="false" customHeight="true" outlineLevel="0" collapsed="false">
      <c r="A1" s="1" t="s">
        <v>200</v>
      </c>
    </row>
    <row r="2" customFormat="false" ht="15" hidden="false" customHeight="false" outlineLevel="0" collapsed="false">
      <c r="A2" s="2" t="s">
        <v>201</v>
      </c>
    </row>
    <row r="4" customFormat="false" ht="27.75" hidden="false" customHeight="true" outlineLevel="0" collapsed="false">
      <c r="A4" s="3" t="s">
        <v>202</v>
      </c>
      <c r="B4" s="3" t="s">
        <v>203</v>
      </c>
      <c r="C4" s="3" t="s">
        <v>5</v>
      </c>
      <c r="D4" s="3" t="s">
        <v>204</v>
      </c>
      <c r="E4" s="3" t="s">
        <v>205</v>
      </c>
      <c r="F4" s="3" t="s">
        <v>206</v>
      </c>
    </row>
    <row r="5" customFormat="false" ht="15" hidden="false" customHeight="false" outlineLevel="0" collapsed="false">
      <c r="A5" s="4" t="s">
        <v>207</v>
      </c>
      <c r="B5" s="10" t="s">
        <v>208</v>
      </c>
      <c r="C5" s="35" t="s">
        <v>209</v>
      </c>
      <c r="D5" s="10" t="s">
        <v>210</v>
      </c>
      <c r="E5" s="10" t="s">
        <v>211</v>
      </c>
      <c r="F5" s="10" t="s">
        <v>212</v>
      </c>
    </row>
    <row r="6" customFormat="false" ht="15" hidden="false" customHeight="false" outlineLevel="0" collapsed="false">
      <c r="A6" s="4" t="s">
        <v>213</v>
      </c>
      <c r="B6" s="10" t="s">
        <v>138</v>
      </c>
      <c r="C6" s="35" t="s">
        <v>214</v>
      </c>
      <c r="D6" s="10" t="s">
        <v>215</v>
      </c>
      <c r="E6" s="10" t="s">
        <v>216</v>
      </c>
      <c r="F6" s="10" t="s">
        <v>217</v>
      </c>
    </row>
    <row r="7" customFormat="false" ht="15" hidden="false" customHeight="false" outlineLevel="0" collapsed="false">
      <c r="A7" s="4" t="s">
        <v>218</v>
      </c>
      <c r="B7" s="10" t="s">
        <v>219</v>
      </c>
      <c r="C7" s="35" t="s">
        <v>220</v>
      </c>
      <c r="D7" s="10" t="s">
        <v>221</v>
      </c>
      <c r="E7" s="10" t="s">
        <v>222</v>
      </c>
      <c r="F7" s="10" t="s">
        <v>223</v>
      </c>
    </row>
    <row r="8" customFormat="false" ht="15" hidden="false" customHeight="false" outlineLevel="0" collapsed="false">
      <c r="A8" s="4" t="s">
        <v>71</v>
      </c>
      <c r="B8" s="10" t="s">
        <v>224</v>
      </c>
      <c r="C8" s="35" t="s">
        <v>225</v>
      </c>
      <c r="D8" s="10" t="s">
        <v>226</v>
      </c>
      <c r="E8" s="10" t="s">
        <v>222</v>
      </c>
      <c r="F8" s="10" t="s">
        <v>227</v>
      </c>
    </row>
    <row r="9" customFormat="false" ht="15" hidden="false" customHeight="false" outlineLevel="0" collapsed="false">
      <c r="A9" s="4" t="s">
        <v>228</v>
      </c>
      <c r="B9" s="10" t="s">
        <v>229</v>
      </c>
      <c r="C9" s="35" t="s">
        <v>131</v>
      </c>
      <c r="D9" s="10" t="s">
        <v>230</v>
      </c>
      <c r="E9" s="10" t="s">
        <v>222</v>
      </c>
      <c r="F9" s="10" t="s">
        <v>131</v>
      </c>
    </row>
    <row r="10" customFormat="false" ht="15" hidden="false" customHeight="false" outlineLevel="0" collapsed="false">
      <c r="A10" s="4" t="s">
        <v>231</v>
      </c>
      <c r="B10" s="10" t="s">
        <v>232</v>
      </c>
      <c r="C10" s="35" t="s">
        <v>233</v>
      </c>
      <c r="D10" s="10" t="s">
        <v>234</v>
      </c>
      <c r="E10" s="10" t="s">
        <v>235</v>
      </c>
      <c r="F10" s="10" t="s">
        <v>236</v>
      </c>
    </row>
    <row r="13" customFormat="false" ht="15" hidden="false" customHeight="false" outlineLevel="0" collapsed="false">
      <c r="A13" s="36" t="s">
        <v>237</v>
      </c>
    </row>
    <row r="14" customFormat="false" ht="27.75" hidden="false" customHeight="true" outlineLevel="0" collapsed="false">
      <c r="A14" s="3" t="s">
        <v>238</v>
      </c>
      <c r="B14" s="3" t="s">
        <v>239</v>
      </c>
      <c r="C14" s="3" t="s">
        <v>240</v>
      </c>
      <c r="D14" s="3" t="s">
        <v>241</v>
      </c>
      <c r="E14" s="3"/>
      <c r="F14" s="3"/>
    </row>
    <row r="15" customFormat="false" ht="15" hidden="false" customHeight="false" outlineLevel="0" collapsed="false">
      <c r="A15" s="37" t="s">
        <v>242</v>
      </c>
      <c r="B15" s="9" t="n">
        <v>0.75</v>
      </c>
      <c r="C15" s="9" t="n">
        <v>0.8125</v>
      </c>
      <c r="D15" s="38" t="s">
        <v>243</v>
      </c>
    </row>
    <row r="16" customFormat="false" ht="15" hidden="false" customHeight="false" outlineLevel="0" collapsed="false">
      <c r="A16" s="37" t="s">
        <v>244</v>
      </c>
      <c r="B16" s="9" t="n">
        <v>0.875</v>
      </c>
      <c r="C16" s="9" t="n">
        <v>0.9375</v>
      </c>
      <c r="D16" s="38" t="s">
        <v>245</v>
      </c>
    </row>
    <row r="17" customFormat="false" ht="15" hidden="false" customHeight="false" outlineLevel="0" collapsed="false">
      <c r="A17" s="37" t="s">
        <v>246</v>
      </c>
      <c r="B17" s="9" t="n">
        <v>1</v>
      </c>
      <c r="C17" s="9" t="n">
        <v>1.0625</v>
      </c>
      <c r="D17" s="38" t="s">
        <v>71</v>
      </c>
    </row>
    <row r="18" customFormat="false" ht="15" hidden="false" customHeight="false" outlineLevel="0" collapsed="false">
      <c r="A18" s="37" t="s">
        <v>247</v>
      </c>
      <c r="B18" s="9" t="n">
        <v>1.125</v>
      </c>
      <c r="C18" s="9" t="n">
        <v>1.25</v>
      </c>
      <c r="D18" s="38" t="s">
        <v>248</v>
      </c>
    </row>
    <row r="19" customFormat="false" ht="15" hidden="false" customHeight="false" outlineLevel="0" collapsed="false">
      <c r="A19" s="37" t="s">
        <v>249</v>
      </c>
      <c r="B19" s="9" t="n">
        <v>1.25</v>
      </c>
      <c r="C19" s="9" t="n">
        <v>1.625</v>
      </c>
      <c r="D19" s="38" t="s">
        <v>250</v>
      </c>
    </row>
    <row r="20" customFormat="false" ht="15" hidden="false" customHeight="false" outlineLevel="0" collapsed="false">
      <c r="A20" s="37" t="s">
        <v>251</v>
      </c>
      <c r="B20" s="9" t="n">
        <v>1.5</v>
      </c>
      <c r="C20" s="9" t="n">
        <v>2.125</v>
      </c>
      <c r="D20" s="38" t="s">
        <v>252</v>
      </c>
    </row>
    <row r="21" customFormat="false" ht="15" hidden="false" customHeight="false" outlineLevel="0" collapsed="false">
      <c r="A21" s="37" t="s">
        <v>253</v>
      </c>
      <c r="B21" s="9" t="n">
        <v>1.875</v>
      </c>
      <c r="C21" s="9" t="n">
        <v>2.875</v>
      </c>
      <c r="D21" s="38" t="s">
        <v>254</v>
      </c>
    </row>
    <row r="22" customFormat="false" ht="15" hidden="false" customHeight="false" outlineLevel="0" collapsed="false">
      <c r="A22" s="37" t="s">
        <v>255</v>
      </c>
      <c r="B22" s="9" t="n">
        <v>2.25</v>
      </c>
      <c r="C22" s="9" t="n">
        <v>3.75</v>
      </c>
      <c r="D22" s="38" t="s">
        <v>256</v>
      </c>
    </row>
    <row r="23" customFormat="false" ht="15" hidden="false" customHeight="false" outlineLevel="0" collapsed="false">
      <c r="A23" s="37" t="s">
        <v>257</v>
      </c>
      <c r="B23" s="9" t="n">
        <v>2.75</v>
      </c>
      <c r="C23" s="9" t="n">
        <v>5.25</v>
      </c>
      <c r="D23" s="38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2026-10-26T18:59:39Z</dcterms:created>
  <dc:creator>openpyxl</dc:creator>
  <dc:description/>
  <dc:language>en-US</dc:language>
  <cp:lastModifiedBy/>
  <dcterms:modified xsi:type="dcterms:W3CDTF">2026-10-26T18:59:39Z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